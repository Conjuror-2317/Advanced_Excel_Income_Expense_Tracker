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3db7c8d8f08733ed/Documents/LEARNING/"/>
    </mc:Choice>
  </mc:AlternateContent>
  <xr:revisionPtr revIDLastSave="561" documentId="8_{F5FAA3AF-DDE1-4569-A811-E7198ED8D58F}" xr6:coauthVersionLast="47" xr6:coauthVersionMax="47" xr10:uidLastSave="{E24D0185-E8A8-40AB-BF66-FB24E800908D}"/>
  <bookViews>
    <workbookView xWindow="-110" yWindow="-110" windowWidth="19420" windowHeight="10300" activeTab="5" xr2:uid="{355519CC-A5EB-4E2C-B05D-5E14FDDB4304}"/>
  </bookViews>
  <sheets>
    <sheet name="DATA" sheetId="5" r:id="rId1"/>
    <sheet name="SUMMARY" sheetId="1" r:id="rId2"/>
    <sheet name="CHART" sheetId="4" r:id="rId3"/>
    <sheet name="BUDGETS" sheetId="7" r:id="rId4"/>
    <sheet name="PIVOT1" sheetId="8" r:id="rId5"/>
    <sheet name="PIVOT2" sheetId="9" r:id="rId6"/>
  </sheets>
  <definedNames>
    <definedName name="_xlnm._FilterDatabase" localSheetId="0" hidden="1">DATA!$A$1:$A$43</definedName>
    <definedName name="Slicer_CATEGORY">#N/A</definedName>
    <definedName name="Slicer_TYPE">#N/A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7" l="1"/>
  <c r="C5" i="1"/>
  <c r="B8" i="1"/>
  <c r="B7" i="1"/>
  <c r="B6" i="1"/>
  <c r="B5" i="1"/>
  <c r="B4" i="1"/>
  <c r="B9" i="1"/>
  <c r="B10" i="1"/>
  <c r="B11" i="1"/>
  <c r="B12" i="1"/>
  <c r="B13" i="1"/>
  <c r="B14" i="1"/>
  <c r="B3" i="1"/>
  <c r="H3" i="1"/>
  <c r="D2" i="7" s="1"/>
  <c r="F2" i="7" s="1"/>
  <c r="C3" i="7"/>
  <c r="C4" i="7"/>
  <c r="C5" i="7"/>
  <c r="C6" i="7"/>
  <c r="C7" i="7"/>
  <c r="C8" i="7"/>
  <c r="C2" i="7"/>
  <c r="H4" i="1"/>
  <c r="D3" i="7" s="1"/>
  <c r="H5" i="1"/>
  <c r="H6" i="1"/>
  <c r="D5" i="7" s="1"/>
  <c r="H7" i="1"/>
  <c r="D6" i="7" s="1"/>
  <c r="H8" i="1"/>
  <c r="D7" i="7" s="1"/>
  <c r="F7" i="7" s="1"/>
  <c r="H9" i="1"/>
  <c r="D8" i="7" s="1"/>
  <c r="E8" i="7" s="1"/>
  <c r="C14" i="1"/>
  <c r="C13" i="1"/>
  <c r="C12" i="1"/>
  <c r="D12" i="1" s="1"/>
  <c r="E12" i="1" s="1"/>
  <c r="C11" i="1"/>
  <c r="C10" i="1"/>
  <c r="C9" i="1"/>
  <c r="C8" i="1"/>
  <c r="C7" i="1"/>
  <c r="C6" i="1"/>
  <c r="C4" i="1"/>
  <c r="C3" i="1"/>
  <c r="F6" i="7" l="1"/>
  <c r="E6" i="7"/>
  <c r="F8" i="7"/>
  <c r="F3" i="7"/>
  <c r="E3" i="7"/>
  <c r="E5" i="7"/>
  <c r="F5" i="7"/>
  <c r="E4" i="7"/>
  <c r="F4" i="7"/>
  <c r="E7" i="7"/>
  <c r="D5" i="1"/>
  <c r="E5" i="1" s="1"/>
  <c r="D9" i="1"/>
  <c r="E9" i="1" s="1"/>
  <c r="D13" i="1"/>
  <c r="E13" i="1" s="1"/>
  <c r="E2" i="7"/>
  <c r="D4" i="1"/>
  <c r="E4" i="1" s="1"/>
  <c r="D8" i="1"/>
  <c r="E8" i="1" s="1"/>
  <c r="C16" i="1"/>
  <c r="D10" i="1"/>
  <c r="E10" i="1" s="1"/>
  <c r="C17" i="1"/>
  <c r="D7" i="1"/>
  <c r="E7" i="1" s="1"/>
  <c r="D11" i="1"/>
  <c r="E11" i="1" s="1"/>
  <c r="D6" i="1"/>
  <c r="E6" i="1" s="1"/>
  <c r="D14" i="1"/>
  <c r="E14" i="1" s="1"/>
  <c r="D3" i="1"/>
  <c r="E3" i="1" s="1"/>
  <c r="H12" i="1" l="1"/>
  <c r="H11" i="1"/>
  <c r="C18" i="1"/>
  <c r="C19" i="1" s="1"/>
</calcChain>
</file>

<file path=xl/sharedStrings.xml><?xml version="1.0" encoding="utf-8"?>
<sst xmlns="http://schemas.openxmlformats.org/spreadsheetml/2006/main" count="212" uniqueCount="84">
  <si>
    <t>DATE</t>
  </si>
  <si>
    <t>DESCRIPTION</t>
  </si>
  <si>
    <t>CATEGORY</t>
  </si>
  <si>
    <t>TYPE</t>
  </si>
  <si>
    <t>AMOUNT</t>
  </si>
  <si>
    <t>Salary Credit</t>
  </si>
  <si>
    <t>Salary</t>
  </si>
  <si>
    <t>Income</t>
  </si>
  <si>
    <t>Grocery Store</t>
  </si>
  <si>
    <t>Food</t>
  </si>
  <si>
    <t>Expense</t>
  </si>
  <si>
    <t>Metro Recharge</t>
  </si>
  <si>
    <t>Transport</t>
  </si>
  <si>
    <t>Netflix Subscription</t>
  </si>
  <si>
    <t>Entertainment</t>
  </si>
  <si>
    <t>Electricity Bill</t>
  </si>
  <si>
    <t>Utilities</t>
  </si>
  <si>
    <t>Freelance Payment</t>
  </si>
  <si>
    <t>Freelance</t>
  </si>
  <si>
    <t>Fuel Expense</t>
  </si>
  <si>
    <t>Movie Tickets</t>
  </si>
  <si>
    <t>Pharmacy Purchase</t>
  </si>
  <si>
    <t>Health</t>
  </si>
  <si>
    <t>Online Shopping</t>
  </si>
  <si>
    <t>Shopping</t>
  </si>
  <si>
    <t>Cab Fare</t>
  </si>
  <si>
    <t>Internet Bill</t>
  </si>
  <si>
    <t>Doctor Consultation</t>
  </si>
  <si>
    <t>Amazon Purchase</t>
  </si>
  <si>
    <t>Gym Membership</t>
  </si>
  <si>
    <t>Spotify Subscription</t>
  </si>
  <si>
    <t>Health Checkup</t>
  </si>
  <si>
    <t>Festival Shopping</t>
  </si>
  <si>
    <t>Year-End Vacation</t>
  </si>
  <si>
    <t>MONTHS</t>
  </si>
  <si>
    <t>TOTAL INCOME</t>
  </si>
  <si>
    <t>TOTAL EXPENSES</t>
  </si>
  <si>
    <t>NET SAVINGS</t>
  </si>
  <si>
    <t>MONTHLY SUMMARY TABLE</t>
  </si>
  <si>
    <t>JANUARY</t>
  </si>
  <si>
    <t>FEBRUARY</t>
  </si>
  <si>
    <t>MARCH</t>
  </si>
  <si>
    <t>APRIL</t>
  </si>
  <si>
    <t>MAY</t>
  </si>
  <si>
    <t>JUNE</t>
  </si>
  <si>
    <t>JULY</t>
  </si>
  <si>
    <t>AUGUST</t>
  </si>
  <si>
    <t>SEPTEMBER</t>
  </si>
  <si>
    <t>OCTOBER</t>
  </si>
  <si>
    <t>NOVEMBER</t>
  </si>
  <si>
    <t>DECEMBER</t>
  </si>
  <si>
    <t>Total Annual Income</t>
  </si>
  <si>
    <t>Total Annual Expenses</t>
  </si>
  <si>
    <t>Net Annual Savings</t>
  </si>
  <si>
    <t>Savings Rate %</t>
  </si>
  <si>
    <t>SPEND BY CATEGORY</t>
  </si>
  <si>
    <t>TOTAL SPENT</t>
  </si>
  <si>
    <t>Highest Savings Month</t>
  </si>
  <si>
    <t>Lowest Savings Month</t>
  </si>
  <si>
    <t>ACTUAL SPENT</t>
  </si>
  <si>
    <t>OVER/UNDER BUDGET</t>
  </si>
  <si>
    <t>Row Labels</t>
  </si>
  <si>
    <t>Grand Total</t>
  </si>
  <si>
    <t>Jan</t>
  </si>
  <si>
    <t>Feb</t>
  </si>
  <si>
    <t>Mar</t>
  </si>
  <si>
    <t>Apr</t>
  </si>
  <si>
    <t>May</t>
  </si>
  <si>
    <t>Jun</t>
  </si>
  <si>
    <t>Jul</t>
  </si>
  <si>
    <t>Aug</t>
  </si>
  <si>
    <t>Sep</t>
  </si>
  <si>
    <t>Oct</t>
  </si>
  <si>
    <t>Nov</t>
  </si>
  <si>
    <t>Dec</t>
  </si>
  <si>
    <t>Column Labels</t>
  </si>
  <si>
    <t>Sum of AMOUNT</t>
  </si>
  <si>
    <t>MONTHLY BUDGET</t>
  </si>
  <si>
    <t>ANNUAL BUDGET</t>
  </si>
  <si>
    <t>NET</t>
  </si>
  <si>
    <t>STATUS</t>
  </si>
  <si>
    <t>SAME TABLE AS MONTHLY INCOME vs EXPENSES IN SUMMARY BUT DONE USING PIVOT IN CONTRAST TO SUMIFS WHILE ALSO MAKING IT DYNAMIC</t>
  </si>
  <si>
    <t>SAME TABLE AS 'SPEND BY CATEGORY' IN SUMMARY BUT DONE USING PIVOT IN CONTRAST TO SUMIFS WHILE ALSO MAKING IT DYNAMIC</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</si>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</sst>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
      <b/>
      <sz val="10"/>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2" fillId="0" borderId="0" xfId="0" applyFont="1" applyAlignment="1">
      <alignment horizontal="center"/>
    </xf>
    <xf numFmtId="14" fontId="0" fillId="0" borderId="0" xfId="0" applyNumberFormat="1"/>
    <xf numFmtId="0" fontId="0" fillId="0" borderId="0" xfId="0" applyAlignment="1">
      <alignment vertical="center" wrapText="1"/>
    </xf>
    <xf numFmtId="0" fontId="4" fillId="0" borderId="0" xfId="0" applyFont="1" applyAlignment="1">
      <alignment horizontal="center" vertical="center" wrapText="1"/>
    </xf>
    <xf numFmtId="0" fontId="5" fillId="0" borderId="0" xfId="0" applyFont="1" applyAlignment="1">
      <alignment horizontal="center"/>
    </xf>
    <xf numFmtId="14" fontId="4" fillId="0" borderId="0" xfId="0" applyNumberFormat="1" applyFont="1" applyAlignment="1">
      <alignment horizontal="center" vertical="center" wrapText="1"/>
    </xf>
    <xf numFmtId="14" fontId="0" fillId="0" borderId="0" xfId="0" applyNumberFormat="1" applyAlignment="1">
      <alignment vertical="center" wrapText="1"/>
    </xf>
    <xf numFmtId="2" fontId="4" fillId="0" borderId="0" xfId="0" applyNumberFormat="1" applyFont="1" applyAlignment="1">
      <alignment horizontal="center" vertical="center" wrapText="1"/>
    </xf>
    <xf numFmtId="2" fontId="0" fillId="0" borderId="0" xfId="0" applyNumberFormat="1"/>
    <xf numFmtId="0" fontId="4" fillId="0" borderId="0" xfId="0" applyFont="1"/>
    <xf numFmtId="164" fontId="0" fillId="0" borderId="0" xfId="0" applyNumberFormat="1" applyAlignment="1">
      <alignment horizontal="right" vertical="center" wrapText="1"/>
    </xf>
    <xf numFmtId="164" fontId="0" fillId="0" borderId="0" xfId="0" applyNumberFormat="1"/>
    <xf numFmtId="0" fontId="0" fillId="0" borderId="1" xfId="0" applyBorder="1"/>
    <xf numFmtId="164" fontId="0" fillId="0" borderId="1" xfId="0" applyNumberFormat="1" applyBorder="1"/>
    <xf numFmtId="0" fontId="2" fillId="2" borderId="1" xfId="0" applyFont="1" applyFill="1" applyBorder="1" applyAlignment="1">
      <alignment horizontal="center"/>
    </xf>
    <xf numFmtId="10" fontId="0" fillId="0" borderId="1" xfId="0" applyNumberFormat="1" applyBorder="1"/>
    <xf numFmtId="0" fontId="3" fillId="2" borderId="1" xfId="0" applyFont="1" applyFill="1" applyBorder="1" applyAlignment="1">
      <alignment horizontal="center"/>
    </xf>
    <xf numFmtId="9" fontId="0" fillId="0" borderId="0" xfId="1" applyFont="1" applyAlignment="1">
      <alignment vertical="center" wrapText="1"/>
    </xf>
    <xf numFmtId="0" fontId="0" fillId="0" borderId="0" xfId="0" pivotButton="1"/>
    <xf numFmtId="0" fontId="0" fillId="0" borderId="0" xfId="0" applyAlignment="1">
      <alignment horizontal="left"/>
    </xf>
    <xf numFmtId="0" fontId="7" fillId="0" borderId="0" xfId="0" applyFont="1" applyAlignment="1">
      <alignment wrapText="1"/>
    </xf>
    <xf numFmtId="0" fontId="3" fillId="2" borderId="1" xfId="0" applyFont="1" applyFill="1" applyBorder="1" applyAlignment="1">
      <alignment horizontal="center"/>
    </xf>
  </cellXfs>
  <cellStyles count="2">
    <cellStyle name="Normal" xfId="0" builtinId="0"/>
    <cellStyle name="Percent" xfId="1" builtinId="5"/>
  </cellStyles>
  <dxfs count="17">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B050"/>
      </font>
    </dxf>
    <dxf>
      <font>
        <color rgb="FFFF0000"/>
      </font>
    </dxf>
    <dxf>
      <font>
        <color theme="5"/>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64" formatCode="&quot;₹&quot;\ #,##0.00"/>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1" indent="0" justifyLastLine="0" shrinkToFit="0" readingOrder="0"/>
    </dxf>
  </dxfs>
  <tableStyles count="0" defaultTableStyle="TableStyleMedium2" defaultPivotStyle="PivotStyleLight16"/>
  <colors>
    <mruColors>
      <color rgb="FFFD99F3"/>
      <color rgb="FFEE0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 Income vs Expenses-2025</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053527117578739"/>
          <c:y val="0.17263516906073784"/>
          <c:w val="0.82282295202407263"/>
          <c:h val="0.51621852810984314"/>
        </c:manualLayout>
      </c:layout>
      <c:bar3DChart>
        <c:barDir val="col"/>
        <c:grouping val="clustered"/>
        <c:varyColors val="0"/>
        <c:ser>
          <c:idx val="0"/>
          <c:order val="0"/>
          <c:tx>
            <c:strRef>
              <c:f>SUMMARY!$B$2</c:f>
              <c:strCache>
                <c:ptCount val="1"/>
                <c:pt idx="0">
                  <c:v>TOTAL INCOME</c:v>
                </c:pt>
              </c:strCache>
            </c:strRef>
          </c:tx>
          <c:spPr>
            <a:solidFill>
              <a:srgbClr val="92D050"/>
            </a:solidFill>
            <a:ln>
              <a:solidFill>
                <a:srgbClr val="92D050"/>
              </a:solidFill>
            </a:ln>
            <a:effectLst/>
            <a:sp3d>
              <a:contourClr>
                <a:srgbClr val="92D050"/>
              </a:contourClr>
            </a:sp3d>
          </c:spPr>
          <c:invertIfNegative val="0"/>
          <c:cat>
            <c:strRef>
              <c:f>SUMMARY!$A$3:$A$14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SUMMARY!$B$3:$B$14</c:f>
              <c:numCache>
                <c:formatCode>"₹"\ #,##0.00</c:formatCode>
                <c:ptCount val="12"/>
                <c:pt idx="0">
                  <c:v>53000</c:v>
                </c:pt>
                <c:pt idx="1">
                  <c:v>45000</c:v>
                </c:pt>
                <c:pt idx="2">
                  <c:v>54500</c:v>
                </c:pt>
                <c:pt idx="3">
                  <c:v>45000</c:v>
                </c:pt>
                <c:pt idx="4">
                  <c:v>58000</c:v>
                </c:pt>
                <c:pt idx="5">
                  <c:v>47000</c:v>
                </c:pt>
                <c:pt idx="6">
                  <c:v>47000</c:v>
                </c:pt>
                <c:pt idx="7">
                  <c:v>50000</c:v>
                </c:pt>
                <c:pt idx="8">
                  <c:v>0</c:v>
                </c:pt>
                <c:pt idx="9">
                  <c:v>12000</c:v>
                </c:pt>
                <c:pt idx="10">
                  <c:v>0</c:v>
                </c:pt>
                <c:pt idx="11">
                  <c:v>50000</c:v>
                </c:pt>
              </c:numCache>
            </c:numRef>
          </c:val>
          <c:extLst>
            <c:ext xmlns:c16="http://schemas.microsoft.com/office/drawing/2014/chart" uri="{C3380CC4-5D6E-409C-BE32-E72D297353CC}">
              <c16:uniqueId val="{00000000-64BC-41E4-8EB9-E566B47A72AA}"/>
            </c:ext>
          </c:extLst>
        </c:ser>
        <c:ser>
          <c:idx val="1"/>
          <c:order val="1"/>
          <c:tx>
            <c:strRef>
              <c:f>SUMMARY!$C$2</c:f>
              <c:strCache>
                <c:ptCount val="1"/>
                <c:pt idx="0">
                  <c:v>TOTAL EXPENSES</c:v>
                </c:pt>
              </c:strCache>
            </c:strRef>
          </c:tx>
          <c:spPr>
            <a:solidFill>
              <a:srgbClr val="FF0000"/>
            </a:solidFill>
            <a:ln>
              <a:noFill/>
            </a:ln>
            <a:effectLst/>
            <a:sp3d/>
          </c:spPr>
          <c:invertIfNegative val="0"/>
          <c:cat>
            <c:strRef>
              <c:f>SUMMARY!$A$3:$A$14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SUMMARY!$C$3:$C$14</c:f>
              <c:numCache>
                <c:formatCode>"₹"\ #,##0.00</c:formatCode>
                <c:ptCount val="12"/>
                <c:pt idx="0">
                  <c:v>5800.25</c:v>
                </c:pt>
                <c:pt idx="1">
                  <c:v>10630.65</c:v>
                </c:pt>
                <c:pt idx="2">
                  <c:v>6259.8</c:v>
                </c:pt>
                <c:pt idx="3">
                  <c:v>11695.65</c:v>
                </c:pt>
                <c:pt idx="4">
                  <c:v>4069.25</c:v>
                </c:pt>
                <c:pt idx="5">
                  <c:v>9025.4</c:v>
                </c:pt>
                <c:pt idx="6">
                  <c:v>5650.75</c:v>
                </c:pt>
                <c:pt idx="7">
                  <c:v>0</c:v>
                </c:pt>
                <c:pt idx="8">
                  <c:v>2200</c:v>
                </c:pt>
                <c:pt idx="9">
                  <c:v>0</c:v>
                </c:pt>
                <c:pt idx="10">
                  <c:v>6500</c:v>
                </c:pt>
                <c:pt idx="11">
                  <c:v>8500</c:v>
                </c:pt>
              </c:numCache>
            </c:numRef>
          </c:val>
          <c:extLst>
            <c:ext xmlns:c16="http://schemas.microsoft.com/office/drawing/2014/chart" uri="{C3380CC4-5D6E-409C-BE32-E72D297353CC}">
              <c16:uniqueId val="{00000001-64BC-41E4-8EB9-E566B47A72AA}"/>
            </c:ext>
          </c:extLst>
        </c:ser>
        <c:dLbls>
          <c:showLegendKey val="0"/>
          <c:showVal val="0"/>
          <c:showCatName val="0"/>
          <c:showSerName val="0"/>
          <c:showPercent val="0"/>
          <c:showBubbleSize val="0"/>
        </c:dLbls>
        <c:gapWidth val="150"/>
        <c:shape val="box"/>
        <c:axId val="646511632"/>
        <c:axId val="646527952"/>
        <c:axId val="0"/>
      </c:bar3DChart>
      <c:catAx>
        <c:axId val="6465116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27952"/>
        <c:crosses val="autoZero"/>
        <c:auto val="1"/>
        <c:lblAlgn val="ctr"/>
        <c:lblOffset val="100"/>
        <c:noMultiLvlLbl val="0"/>
      </c:catAx>
      <c:valAx>
        <c:axId val="646527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511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SUMMARY!$H$2</c:f>
              <c:strCache>
                <c:ptCount val="1"/>
                <c:pt idx="0">
                  <c:v>TOTAL SPENT</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01-8B38-4654-8B1F-9BD13074440C}"/>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8B38-4654-8B1F-9BD1307444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38-4654-8B1F-9BD13074440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38-4654-8B1F-9BD13074440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38-4654-8B1F-9BD13074440C}"/>
              </c:ext>
            </c:extLst>
          </c:dPt>
          <c:dPt>
            <c:idx val="5"/>
            <c:bubble3D val="0"/>
            <c:spPr>
              <a:solidFill>
                <a:srgbClr val="FD99F3"/>
              </a:solidFill>
              <a:ln w="19050">
                <a:solidFill>
                  <a:schemeClr val="lt1"/>
                </a:solidFill>
              </a:ln>
              <a:effectLst/>
            </c:spPr>
            <c:extLst>
              <c:ext xmlns:c16="http://schemas.microsoft.com/office/drawing/2014/chart" uri="{C3380CC4-5D6E-409C-BE32-E72D297353CC}">
                <c16:uniqueId val="{0000000B-8B38-4654-8B1F-9BD13074440C}"/>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8B38-4654-8B1F-9BD13074440C}"/>
              </c:ext>
            </c:extLst>
          </c:dPt>
          <c:cat>
            <c:strRef>
              <c:f>SUMMARY!$G$3:$G$9</c:f>
              <c:strCache>
                <c:ptCount val="7"/>
                <c:pt idx="0">
                  <c:v>Food</c:v>
                </c:pt>
                <c:pt idx="1">
                  <c:v>Transport</c:v>
                </c:pt>
                <c:pt idx="2">
                  <c:v>Entertainment</c:v>
                </c:pt>
                <c:pt idx="3">
                  <c:v>Utilities</c:v>
                </c:pt>
                <c:pt idx="4">
                  <c:v>Freelance</c:v>
                </c:pt>
                <c:pt idx="5">
                  <c:v>Health</c:v>
                </c:pt>
                <c:pt idx="6">
                  <c:v>Shopping</c:v>
                </c:pt>
              </c:strCache>
            </c:strRef>
          </c:cat>
          <c:val>
            <c:numRef>
              <c:f>SUMMARY!$H$3:$H$9</c:f>
              <c:numCache>
                <c:formatCode>"₹"\ #,##0.00</c:formatCode>
                <c:ptCount val="7"/>
                <c:pt idx="0">
                  <c:v>19463.75</c:v>
                </c:pt>
                <c:pt idx="1">
                  <c:v>7100</c:v>
                </c:pt>
                <c:pt idx="2">
                  <c:v>10918</c:v>
                </c:pt>
                <c:pt idx="3">
                  <c:v>7099.75</c:v>
                </c:pt>
                <c:pt idx="4">
                  <c:v>0</c:v>
                </c:pt>
                <c:pt idx="5">
                  <c:v>7750.25</c:v>
                </c:pt>
                <c:pt idx="6">
                  <c:v>18000</c:v>
                </c:pt>
              </c:numCache>
            </c:numRef>
          </c:val>
          <c:extLst>
            <c:ext xmlns:c16="http://schemas.microsoft.com/office/drawing/2014/chart" uri="{C3380CC4-5D6E-409C-BE32-E72D297353CC}">
              <c16:uniqueId val="{0000000E-8B38-4654-8B1F-9BD13074440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35335660362042"/>
          <c:y val="0.25563382821422131"/>
          <c:w val="0.28428434011505499"/>
          <c:h val="0.6176110334219997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177800</xdr:colOff>
      <xdr:row>1</xdr:row>
      <xdr:rowOff>19050</xdr:rowOff>
    </xdr:from>
    <xdr:to>
      <xdr:col>7</xdr:col>
      <xdr:colOff>482600</xdr:colOff>
      <xdr:row>16</xdr:row>
      <xdr:rowOff>0</xdr:rowOff>
    </xdr:to>
    <xdr:graphicFrame macro="">
      <xdr:nvGraphicFramePr>
        <xdr:cNvPr id="2" name="Chart 1">
          <a:extLst>
            <a:ext uri="{FF2B5EF4-FFF2-40B4-BE49-F238E27FC236}">
              <a16:creationId xmlns:a16="http://schemas.microsoft.com/office/drawing/2014/main" id="{75076E38-06D2-4A1D-914D-1EE58A17D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25400</xdr:colOff>
      <xdr:row>1</xdr:row>
      <xdr:rowOff>12700</xdr:rowOff>
    </xdr:from>
    <xdr:to>
      <xdr:col>14</xdr:col>
      <xdr:colOff>152400</xdr:colOff>
      <xdr:row>16</xdr:row>
      <xdr:rowOff>0</xdr:rowOff>
    </xdr:to>
    <xdr:graphicFrame macro="">
      <xdr:nvGraphicFramePr>
        <xdr:cNvPr id="3" name="Chart 2">
          <a:extLst>
            <a:ext uri="{FF2B5EF4-FFF2-40B4-BE49-F238E27FC236}">
              <a16:creationId xmlns:a16="http://schemas.microsoft.com/office/drawing/2014/main" id="{B9280B8E-252C-4C6A-A648-5C02305DA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101600</xdr:colOff>
      <xdr:row>3</xdr:row>
      <xdr:rowOff>152400</xdr:rowOff>
    </xdr:from>
    <xdr:to>
      <xdr:col>6</xdr:col>
      <xdr:colOff>444500</xdr:colOff>
      <xdr:row>17</xdr:row>
      <xdr:rowOff>98425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7DF80EBD-9CCE-FBFD-2CB4-17F52A395F8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84850" y="1022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88900</xdr:colOff>
      <xdr:row>0</xdr:row>
      <xdr:rowOff>57151</xdr:rowOff>
    </xdr:from>
    <xdr:to>
      <xdr:col>6</xdr:col>
      <xdr:colOff>431800</xdr:colOff>
      <xdr:row>3</xdr:row>
      <xdr:rowOff>95251</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0B6363F0-DA32-8212-1C34-BDFE7C344EC9}"/>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5772150" y="57151"/>
              <a:ext cx="1828800" cy="908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Paul" refreshedDate="46176.500810879632" createdVersion="8" refreshedVersion="8" minRefreshableVersion="3" recordCount="42" xr:uid="{72E1BC7C-81C3-4BC3-A5D0-5D4052DDF83B}">
  <cacheSource type="worksheet">
    <worksheetSource ref="A1:E43" sheet="DATA"/>
  </cacheSource>
  <cacheFields count="7">
    <cacheField name="DATE" numFmtId="14">
      <sharedItems containsSemiMixedTypes="0" containsNonDate="0" containsDate="1" containsString="0" minDate="2025-01-05T00:00:00" maxDate="2025-12-19T00:00:00" count="42">
        <d v="2025-01-05T00:00:00"/>
        <d v="2025-01-08T00:00:00"/>
        <d v="2025-01-12T00:00:00"/>
        <d v="2025-01-15T00:00:00"/>
        <d v="2025-01-20T00:00:00"/>
        <d v="2025-01-25T00:00:00"/>
        <d v="2025-02-02T00:00:00"/>
        <d v="2025-02-05T00:00:00"/>
        <d v="2025-02-10T00:00:00"/>
        <d v="2025-02-14T00:00:00"/>
        <d v="2025-02-18T00:00:00"/>
        <d v="2025-02-24T00:00:00"/>
        <d v="2025-03-05T00:00:00"/>
        <d v="2025-03-08T00:00:00"/>
        <d v="2025-03-12T00:00:00"/>
        <d v="2025-03-18T00:00:00"/>
        <d v="2025-03-22T00:00:00"/>
        <d v="2025-03-28T00:00:00"/>
        <d v="2025-04-05T00:00:00"/>
        <d v="2025-04-09T00:00:00"/>
        <d v="2025-04-15T00:00:00"/>
        <d v="2025-04-20T00:00:00"/>
        <d v="2025-04-25T00:00:00"/>
        <d v="2025-05-05T00:00:00"/>
        <d v="2025-05-08T00:00:00"/>
        <d v="2025-05-13T00:00:00"/>
        <d v="2025-05-18T00:00:00"/>
        <d v="2025-05-23T00:00:00"/>
        <d v="2025-06-05T00:00:00"/>
        <d v="2025-06-11T00:00:00"/>
        <d v="2025-06-17T00:00:00"/>
        <d v="2025-06-22T00:00:00"/>
        <d v="2025-07-05T00:00:00"/>
        <d v="2025-07-10T00:00:00"/>
        <d v="2025-07-15T00:00:00"/>
        <d v="2025-07-21T00:00:00"/>
        <d v="2025-08-05T00:00:00"/>
        <d v="2025-09-12T00:00:00"/>
        <d v="2025-10-10T00:00:00"/>
        <d v="2025-11-15T00:00:00"/>
        <d v="2025-12-05T00:00:00"/>
        <d v="2025-12-18T00:00:00"/>
      </sharedItems>
      <fieldGroup par="6"/>
    </cacheField>
    <cacheField name="DESCRIPTION" numFmtId="0">
      <sharedItems/>
    </cacheField>
    <cacheField name="CATEGORY" numFmtId="0">
      <sharedItems count="8">
        <s v="Salary"/>
        <s v="Food"/>
        <s v="Transport"/>
        <s v="Entertainment"/>
        <s v="Utilities"/>
        <s v="Freelance"/>
        <s v="Health"/>
        <s v="Shopping"/>
      </sharedItems>
    </cacheField>
    <cacheField name="TYPE" numFmtId="0">
      <sharedItems count="2">
        <s v="Income"/>
        <s v="Expense"/>
      </sharedItems>
    </cacheField>
    <cacheField name="AMOUNT" numFmtId="164">
      <sharedItems containsSemiMixedTypes="0" containsString="0" containsNumber="1" minValue="119" maxValue="50000"/>
    </cacheField>
    <cacheField name="Days (DATE)" numFmtId="0" databaseField="0">
      <fieldGroup base="0">
        <rangePr groupBy="days" startDate="2025-01-05T00:00:00" endDate="2025-12-19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12-2025"/>
        </groupItems>
      </fieldGroup>
    </cacheField>
    <cacheField name="Months (DATE)" numFmtId="0" databaseField="0">
      <fieldGroup base="0">
        <rangePr groupBy="months" startDate="2025-01-05T00:00:00" endDate="2025-12-19T00:00:00"/>
        <groupItems count="14">
          <s v="&lt;05-01-2025"/>
          <s v="Jan"/>
          <s v="Feb"/>
          <s v="Mar"/>
          <s v="Apr"/>
          <s v="May"/>
          <s v="Jun"/>
          <s v="Jul"/>
          <s v="Aug"/>
          <s v="Sep"/>
          <s v="Oct"/>
          <s v="Nov"/>
          <s v="Dec"/>
          <s v="&gt;19-12-2025"/>
        </groupItems>
      </fieldGroup>
    </cacheField>
  </cacheFields>
  <extLst>
    <ext xmlns:x14="http://schemas.microsoft.com/office/spreadsheetml/2009/9/main" uri="{725AE2AE-9491-48be-B2B4-4EB974FC3084}">
      <x14:pivotCacheDefinition pivotCacheId="2716787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Paul" refreshedDate="46182.023399421298" createdVersion="8" refreshedVersion="8" minRefreshableVersion="3" recordCount="42" xr:uid="{E89E93DD-86CA-4577-B446-8A6DDC68954A}">
  <cacheSource type="worksheet">
    <worksheetSource ref="A1:E43" sheet="DATA"/>
  </cacheSource>
  <cacheFields count="5">
    <cacheField name="DATE" numFmtId="14">
      <sharedItems containsSemiMixedTypes="0" containsNonDate="0" containsDate="1" containsString="0" minDate="2025-01-05T00:00:00" maxDate="2025-12-19T00:00:00"/>
    </cacheField>
    <cacheField name="DESCRIPTION" numFmtId="0">
      <sharedItems/>
    </cacheField>
    <cacheField name="CATEGORY" numFmtId="0">
      <sharedItems count="8">
        <s v="Salary"/>
        <s v="Food"/>
        <s v="Transport"/>
        <s v="Entertainment"/>
        <s v="Utilities"/>
        <s v="Freelance"/>
        <s v="Health"/>
        <s v="Shopping"/>
      </sharedItems>
    </cacheField>
    <cacheField name="TYPE" numFmtId="0">
      <sharedItems count="2">
        <s v="Income"/>
        <s v="Expense"/>
      </sharedItems>
    </cacheField>
    <cacheField name="AMOUNT" numFmtId="164">
      <sharedItems containsSemiMixedTypes="0" containsString="0" containsNumber="1" minValue="119" maxValue="50000"/>
    </cacheField>
  </cacheFields>
  <extLst>
    <ext xmlns:x14="http://schemas.microsoft.com/office/spreadsheetml/2009/9/main" uri="{725AE2AE-9491-48be-B2B4-4EB974FC3084}">
      <x14:pivotCacheDefinition pivotCacheId="14121317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s v="Salary Credit"/>
    <x v="0"/>
    <x v="0"/>
    <n v="45000"/>
  </r>
  <r>
    <x v="1"/>
    <s v="Grocery Store"/>
    <x v="1"/>
    <x v="1"/>
    <n v="2450.5"/>
  </r>
  <r>
    <x v="2"/>
    <s v="Metro Recharge"/>
    <x v="2"/>
    <x v="1"/>
    <n v="850"/>
  </r>
  <r>
    <x v="3"/>
    <s v="Netflix Subscription"/>
    <x v="3"/>
    <x v="1"/>
    <n v="649"/>
  </r>
  <r>
    <x v="4"/>
    <s v="Electricity Bill"/>
    <x v="4"/>
    <x v="1"/>
    <n v="1850.75"/>
  </r>
  <r>
    <x v="5"/>
    <s v="Freelance Payment"/>
    <x v="5"/>
    <x v="0"/>
    <n v="8000"/>
  </r>
  <r>
    <x v="6"/>
    <s v="Grocery Store"/>
    <x v="1"/>
    <x v="1"/>
    <n v="2780.4"/>
  </r>
  <r>
    <x v="7"/>
    <s v="Salary Credit"/>
    <x v="0"/>
    <x v="0"/>
    <n v="45000"/>
  </r>
  <r>
    <x v="8"/>
    <s v="Fuel Expense"/>
    <x v="2"/>
    <x v="1"/>
    <n v="2200"/>
  </r>
  <r>
    <x v="9"/>
    <s v="Movie Tickets"/>
    <x v="3"/>
    <x v="1"/>
    <n v="900"/>
  </r>
  <r>
    <x v="10"/>
    <s v="Pharmacy Purchase"/>
    <x v="6"/>
    <x v="1"/>
    <n v="1250.25"/>
  </r>
  <r>
    <x v="11"/>
    <s v="Online Shopping"/>
    <x v="7"/>
    <x v="1"/>
    <n v="3500"/>
  </r>
  <r>
    <x v="12"/>
    <s v="Salary Credit"/>
    <x v="0"/>
    <x v="0"/>
    <n v="45000"/>
  </r>
  <r>
    <x v="13"/>
    <s v="Grocery Store"/>
    <x v="1"/>
    <x v="1"/>
    <n v="2610.8000000000002"/>
  </r>
  <r>
    <x v="14"/>
    <s v="Cab Fare"/>
    <x v="2"/>
    <x v="1"/>
    <n v="650"/>
  </r>
  <r>
    <x v="15"/>
    <s v="Internet Bill"/>
    <x v="4"/>
    <x v="1"/>
    <n v="1199"/>
  </r>
  <r>
    <x v="16"/>
    <s v="Freelance Payment"/>
    <x v="5"/>
    <x v="0"/>
    <n v="9500"/>
  </r>
  <r>
    <x v="17"/>
    <s v="Doctor Consultation"/>
    <x v="6"/>
    <x v="1"/>
    <n v="1800"/>
  </r>
  <r>
    <x v="18"/>
    <s v="Salary Credit"/>
    <x v="0"/>
    <x v="0"/>
    <n v="45000"/>
  </r>
  <r>
    <x v="19"/>
    <s v="Grocery Store"/>
    <x v="1"/>
    <x v="1"/>
    <n v="2895.65"/>
  </r>
  <r>
    <x v="20"/>
    <s v="Amazon Purchase"/>
    <x v="7"/>
    <x v="1"/>
    <n v="4200"/>
  </r>
  <r>
    <x v="21"/>
    <s v="Gym Membership"/>
    <x v="6"/>
    <x v="1"/>
    <n v="2500"/>
  </r>
  <r>
    <x v="22"/>
    <s v="Electricity Bill"/>
    <x v="4"/>
    <x v="1"/>
    <n v="2100"/>
  </r>
  <r>
    <x v="23"/>
    <s v="Salary Credit"/>
    <x v="0"/>
    <x v="0"/>
    <n v="47000"/>
  </r>
  <r>
    <x v="24"/>
    <s v="Grocery Store"/>
    <x v="1"/>
    <x v="1"/>
    <n v="3050.25"/>
  </r>
  <r>
    <x v="25"/>
    <s v="Metro Recharge"/>
    <x v="2"/>
    <x v="1"/>
    <n v="900"/>
  </r>
  <r>
    <x v="26"/>
    <s v="Spotify Subscription"/>
    <x v="3"/>
    <x v="1"/>
    <n v="119"/>
  </r>
  <r>
    <x v="27"/>
    <s v="Freelance Payment"/>
    <x v="5"/>
    <x v="0"/>
    <n v="11000"/>
  </r>
  <r>
    <x v="28"/>
    <s v="Salary Credit"/>
    <x v="0"/>
    <x v="0"/>
    <n v="47000"/>
  </r>
  <r>
    <x v="29"/>
    <s v="Grocery Store"/>
    <x v="1"/>
    <x v="1"/>
    <n v="2725.4"/>
  </r>
  <r>
    <x v="30"/>
    <s v="Fuel Expense"/>
    <x v="2"/>
    <x v="1"/>
    <n v="2500"/>
  </r>
  <r>
    <x v="31"/>
    <s v="Online Shopping"/>
    <x v="7"/>
    <x v="1"/>
    <n v="3800"/>
  </r>
  <r>
    <x v="32"/>
    <s v="Salary Credit"/>
    <x v="0"/>
    <x v="0"/>
    <n v="47000"/>
  </r>
  <r>
    <x v="33"/>
    <s v="Grocery Store"/>
    <x v="1"/>
    <x v="1"/>
    <n v="2950.75"/>
  </r>
  <r>
    <x v="34"/>
    <s v="Movie Tickets"/>
    <x v="3"/>
    <x v="1"/>
    <n v="750"/>
  </r>
  <r>
    <x v="35"/>
    <s v="Electricity Bill"/>
    <x v="4"/>
    <x v="1"/>
    <n v="1950"/>
  </r>
  <r>
    <x v="36"/>
    <s v="Salary Credit"/>
    <x v="0"/>
    <x v="0"/>
    <n v="50000"/>
  </r>
  <r>
    <x v="37"/>
    <s v="Health Checkup"/>
    <x v="6"/>
    <x v="1"/>
    <n v="2200"/>
  </r>
  <r>
    <x v="38"/>
    <s v="Freelance Payment"/>
    <x v="5"/>
    <x v="0"/>
    <n v="12000"/>
  </r>
  <r>
    <x v="39"/>
    <s v="Festival Shopping"/>
    <x v="7"/>
    <x v="1"/>
    <n v="6500"/>
  </r>
  <r>
    <x v="40"/>
    <s v="Salary Credit"/>
    <x v="0"/>
    <x v="0"/>
    <n v="50000"/>
  </r>
  <r>
    <x v="41"/>
    <s v="Year-End Vacation"/>
    <x v="3"/>
    <x v="1"/>
    <n v="85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d v="2025-01-05T00:00:00"/>
    <s v="Salary Credit"/>
    <x v="0"/>
    <x v="0"/>
    <n v="45000"/>
  </r>
  <r>
    <d v="2025-01-08T00:00:00"/>
    <s v="Grocery Store"/>
    <x v="1"/>
    <x v="1"/>
    <n v="2450.5"/>
  </r>
  <r>
    <d v="2025-01-12T00:00:00"/>
    <s v="Metro Recharge"/>
    <x v="2"/>
    <x v="1"/>
    <n v="850"/>
  </r>
  <r>
    <d v="2025-01-15T00:00:00"/>
    <s v="Netflix Subscription"/>
    <x v="3"/>
    <x v="1"/>
    <n v="649"/>
  </r>
  <r>
    <d v="2025-01-20T00:00:00"/>
    <s v="Electricity Bill"/>
    <x v="4"/>
    <x v="1"/>
    <n v="1850.75"/>
  </r>
  <r>
    <d v="2025-01-25T00:00:00"/>
    <s v="Freelance Payment"/>
    <x v="5"/>
    <x v="0"/>
    <n v="8000"/>
  </r>
  <r>
    <d v="2025-02-02T00:00:00"/>
    <s v="Grocery Store"/>
    <x v="1"/>
    <x v="1"/>
    <n v="2780.4"/>
  </r>
  <r>
    <d v="2025-02-05T00:00:00"/>
    <s v="Salary Credit"/>
    <x v="0"/>
    <x v="0"/>
    <n v="45000"/>
  </r>
  <r>
    <d v="2025-02-10T00:00:00"/>
    <s v="Fuel Expense"/>
    <x v="2"/>
    <x v="1"/>
    <n v="2200"/>
  </r>
  <r>
    <d v="2025-02-14T00:00:00"/>
    <s v="Movie Tickets"/>
    <x v="3"/>
    <x v="1"/>
    <n v="900"/>
  </r>
  <r>
    <d v="2025-02-18T00:00:00"/>
    <s v="Pharmacy Purchase"/>
    <x v="6"/>
    <x v="1"/>
    <n v="1250.25"/>
  </r>
  <r>
    <d v="2025-02-24T00:00:00"/>
    <s v="Online Shopping"/>
    <x v="7"/>
    <x v="1"/>
    <n v="3500"/>
  </r>
  <r>
    <d v="2025-03-05T00:00:00"/>
    <s v="Salary Credit"/>
    <x v="0"/>
    <x v="0"/>
    <n v="45000"/>
  </r>
  <r>
    <d v="2025-03-08T00:00:00"/>
    <s v="Grocery Store"/>
    <x v="1"/>
    <x v="1"/>
    <n v="2610.8000000000002"/>
  </r>
  <r>
    <d v="2025-03-12T00:00:00"/>
    <s v="Cab Fare"/>
    <x v="2"/>
    <x v="1"/>
    <n v="650"/>
  </r>
  <r>
    <d v="2025-03-18T00:00:00"/>
    <s v="Internet Bill"/>
    <x v="4"/>
    <x v="1"/>
    <n v="1199"/>
  </r>
  <r>
    <d v="2025-03-22T00:00:00"/>
    <s v="Freelance Payment"/>
    <x v="5"/>
    <x v="0"/>
    <n v="9500"/>
  </r>
  <r>
    <d v="2025-03-28T00:00:00"/>
    <s v="Doctor Consultation"/>
    <x v="6"/>
    <x v="1"/>
    <n v="1800"/>
  </r>
  <r>
    <d v="2025-04-05T00:00:00"/>
    <s v="Salary Credit"/>
    <x v="0"/>
    <x v="0"/>
    <n v="45000"/>
  </r>
  <r>
    <d v="2025-04-09T00:00:00"/>
    <s v="Grocery Store"/>
    <x v="1"/>
    <x v="1"/>
    <n v="2895.65"/>
  </r>
  <r>
    <d v="2025-04-15T00:00:00"/>
    <s v="Amazon Purchase"/>
    <x v="7"/>
    <x v="1"/>
    <n v="4200"/>
  </r>
  <r>
    <d v="2025-04-20T00:00:00"/>
    <s v="Gym Membership"/>
    <x v="6"/>
    <x v="1"/>
    <n v="2500"/>
  </r>
  <r>
    <d v="2025-04-25T00:00:00"/>
    <s v="Electricity Bill"/>
    <x v="4"/>
    <x v="1"/>
    <n v="2100"/>
  </r>
  <r>
    <d v="2025-05-05T00:00:00"/>
    <s v="Salary Credit"/>
    <x v="0"/>
    <x v="0"/>
    <n v="47000"/>
  </r>
  <r>
    <d v="2025-05-08T00:00:00"/>
    <s v="Grocery Store"/>
    <x v="1"/>
    <x v="1"/>
    <n v="3050.25"/>
  </r>
  <r>
    <d v="2025-05-13T00:00:00"/>
    <s v="Metro Recharge"/>
    <x v="2"/>
    <x v="1"/>
    <n v="900"/>
  </r>
  <r>
    <d v="2025-05-18T00:00:00"/>
    <s v="Spotify Subscription"/>
    <x v="3"/>
    <x v="1"/>
    <n v="119"/>
  </r>
  <r>
    <d v="2025-05-23T00:00:00"/>
    <s v="Freelance Payment"/>
    <x v="5"/>
    <x v="0"/>
    <n v="11000"/>
  </r>
  <r>
    <d v="2025-06-05T00:00:00"/>
    <s v="Salary Credit"/>
    <x v="0"/>
    <x v="0"/>
    <n v="47000"/>
  </r>
  <r>
    <d v="2025-06-11T00:00:00"/>
    <s v="Grocery Store"/>
    <x v="1"/>
    <x v="1"/>
    <n v="2725.4"/>
  </r>
  <r>
    <d v="2025-06-17T00:00:00"/>
    <s v="Fuel Expense"/>
    <x v="2"/>
    <x v="1"/>
    <n v="2500"/>
  </r>
  <r>
    <d v="2025-06-22T00:00:00"/>
    <s v="Online Shopping"/>
    <x v="7"/>
    <x v="1"/>
    <n v="3800"/>
  </r>
  <r>
    <d v="2025-07-05T00:00:00"/>
    <s v="Salary Credit"/>
    <x v="0"/>
    <x v="0"/>
    <n v="47000"/>
  </r>
  <r>
    <d v="2025-07-10T00:00:00"/>
    <s v="Grocery Store"/>
    <x v="1"/>
    <x v="1"/>
    <n v="2950.75"/>
  </r>
  <r>
    <d v="2025-07-15T00:00:00"/>
    <s v="Movie Tickets"/>
    <x v="3"/>
    <x v="1"/>
    <n v="750"/>
  </r>
  <r>
    <d v="2025-07-21T00:00:00"/>
    <s v="Electricity Bill"/>
    <x v="4"/>
    <x v="1"/>
    <n v="1950"/>
  </r>
  <r>
    <d v="2025-08-05T00:00:00"/>
    <s v="Salary Credit"/>
    <x v="0"/>
    <x v="0"/>
    <n v="50000"/>
  </r>
  <r>
    <d v="2025-09-12T00:00:00"/>
    <s v="Health Checkup"/>
    <x v="6"/>
    <x v="1"/>
    <n v="2200"/>
  </r>
  <r>
    <d v="2025-10-10T00:00:00"/>
    <s v="Freelance Payment"/>
    <x v="5"/>
    <x v="0"/>
    <n v="12000"/>
  </r>
  <r>
    <d v="2025-11-15T00:00:00"/>
    <s v="Festival Shopping"/>
    <x v="7"/>
    <x v="1"/>
    <n v="6500"/>
  </r>
  <r>
    <d v="2025-12-05T00:00:00"/>
    <s v="Salary Credit"/>
    <x v="0"/>
    <x v="0"/>
    <n v="50000"/>
  </r>
  <r>
    <d v="2025-12-18T00:00:00"/>
    <s v="Year-End Vacation"/>
    <x v="3"/>
    <x v="1"/>
    <n v="8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B9B278-058D-42AF-AEB0-E4830FD799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7" firstHeaderRow="1" firstDataRow="2" firstDataCol="1"/>
  <pivotFields count="7">
    <pivotField numFmtId="14"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showAll="0"/>
    <pivotField showAll="0">
      <items count="9">
        <item x="3"/>
        <item x="1"/>
        <item x="5"/>
        <item x="6"/>
        <item x="0"/>
        <item x="7"/>
        <item x="2"/>
        <item x="4"/>
        <item t="default"/>
      </items>
    </pivotField>
    <pivotField axis="axisCol" showAll="0">
      <items count="3">
        <item x="1"/>
        <item x="0"/>
        <item t="default"/>
      </items>
    </pivotField>
    <pivotField dataField="1" numFmtId="164"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3">
    <i>
      <x v="1"/>
    </i>
    <i>
      <x v="2"/>
    </i>
    <i>
      <x v="3"/>
    </i>
    <i>
      <x v="4"/>
    </i>
    <i>
      <x v="5"/>
    </i>
    <i>
      <x v="6"/>
    </i>
    <i>
      <x v="7"/>
    </i>
    <i>
      <x v="8"/>
    </i>
    <i>
      <x v="9"/>
    </i>
    <i>
      <x v="10"/>
    </i>
    <i>
      <x v="11"/>
    </i>
    <i>
      <x v="12"/>
    </i>
    <i t="grand">
      <x/>
    </i>
  </rowItems>
  <colFields count="1">
    <field x="3"/>
  </colFields>
  <colItems count="3">
    <i>
      <x/>
    </i>
    <i>
      <x v="1"/>
    </i>
    <i t="grand">
      <x/>
    </i>
  </colItems>
  <dataFields count="1">
    <dataField name="Sum of AMOUN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6C2E9C-1B9D-4439-9F34-F832201259F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rowPageCount="1" colPageCount="1"/>
  <pivotFields count="5">
    <pivotField numFmtId="14" showAll="0"/>
    <pivotField showAll="0"/>
    <pivotField axis="axisRow" showAll="0">
      <items count="9">
        <item x="3"/>
        <item x="1"/>
        <item x="5"/>
        <item x="6"/>
        <item x="0"/>
        <item x="7"/>
        <item x="2"/>
        <item x="4"/>
        <item t="default"/>
      </items>
    </pivotField>
    <pivotField axis="axisPage" multipleItemSelectionAllowed="1" showAll="0">
      <items count="3">
        <item x="1"/>
        <item x="0"/>
        <item t="default"/>
      </items>
    </pivotField>
    <pivotField dataField="1" numFmtId="164" showAll="0"/>
  </pivotFields>
  <rowFields count="1">
    <field x="2"/>
  </rowFields>
  <rowItems count="9">
    <i>
      <x/>
    </i>
    <i>
      <x v="1"/>
    </i>
    <i>
      <x v="2"/>
    </i>
    <i>
      <x v="3"/>
    </i>
    <i>
      <x v="4"/>
    </i>
    <i>
      <x v="5"/>
    </i>
    <i>
      <x v="6"/>
    </i>
    <i>
      <x v="7"/>
    </i>
    <i t="grand">
      <x/>
    </i>
  </rowItems>
  <colItems count="1">
    <i/>
  </colItems>
  <pageFields count="1">
    <pageField fld="3" hier="-1"/>
  </pageFields>
  <dataFields count="1">
    <dataField name="Sum of AMOUN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0F73A1-1CF0-420C-B967-180EF1F5CD9B}" sourceName="CATEGORY">
  <pivotTables>
    <pivotTable tabId="8" name="PivotTable1"/>
  </pivotTables>
  <data>
    <tabular pivotCacheId="271678735">
      <items count="8">
        <i x="3" s="1"/>
        <i x="1" s="1"/>
        <i x="5" s="1"/>
        <i x="6" s="1"/>
        <i x="0" s="1"/>
        <i x="7"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9DEE396-B672-4240-94A6-D0253507274C}" sourceName="TYPE">
  <pivotTables>
    <pivotTable tabId="8" name="PivotTable1"/>
  </pivotTables>
  <data>
    <tabular pivotCacheId="27167873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56E7729-EAB8-4120-84BB-2A98A14341A0}" cache="Slicer_CATEGORY" caption="CATEGORY" rowHeight="241300"/>
  <slicer name="TYPE" xr10:uid="{840B504A-1917-42BC-A180-A9730AEE246C}" cache="Slicer_TYPE" caption="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193C0D-6C79-4848-B8B6-4290A497F287}" name="Table1" displayName="Table1" ref="A1:E43" totalsRowShown="0" headerRowDxfId="16" dataDxfId="15">
  <autoFilter ref="A1:E43" xr:uid="{D3193C0D-6C79-4848-B8B6-4290A497F287}"/>
  <tableColumns count="5">
    <tableColumn id="1" xr3:uid="{51BA8F1D-354E-4EB4-A1DC-D5E3BC9DA6AD}" name="DATE" dataDxfId="14"/>
    <tableColumn id="2" xr3:uid="{C82F65FB-FED9-4325-AB44-BCDC176BE157}" name="DESCRIPTION" dataDxfId="13"/>
    <tableColumn id="3" xr3:uid="{4C481639-7248-465C-913E-CFF1191328A4}" name="CATEGORY" dataDxfId="12"/>
    <tableColumn id="4" xr3:uid="{E26D9C68-D1FB-41F1-9A24-AD75C16EC66C}" name="TYPE" dataDxfId="11"/>
    <tableColumn id="5" xr3:uid="{5EB9E811-C00F-4155-8CCC-E1BEA3FCC04E}" name="AMOUNT"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7AD04-D126-4AF9-8475-CA53A89AE598}">
  <dimension ref="A1:E43"/>
  <sheetViews>
    <sheetView workbookViewId="0">
      <selection activeCell="C15" sqref="C15"/>
    </sheetView>
  </sheetViews>
  <sheetFormatPr defaultColWidth="15.90625" defaultRowHeight="14.5" x14ac:dyDescent="0.35"/>
  <cols>
    <col min="1" max="1" width="16.81640625" style="2" customWidth="1"/>
    <col min="2" max="2" width="20.453125" customWidth="1"/>
    <col min="3" max="3" width="17.81640625" customWidth="1"/>
    <col min="5" max="5" width="17.90625" style="9" customWidth="1"/>
  </cols>
  <sheetData>
    <row r="1" spans="1:5" s="5" customFormat="1" ht="18.5" x14ac:dyDescent="0.45">
      <c r="A1" s="6" t="s">
        <v>0</v>
      </c>
      <c r="B1" s="4" t="s">
        <v>1</v>
      </c>
      <c r="C1" s="4" t="s">
        <v>2</v>
      </c>
      <c r="D1" s="4" t="s">
        <v>3</v>
      </c>
      <c r="E1" s="8" t="s">
        <v>4</v>
      </c>
    </row>
    <row r="2" spans="1:5" x14ac:dyDescent="0.35">
      <c r="A2" s="7">
        <v>45662</v>
      </c>
      <c r="B2" s="3" t="s">
        <v>5</v>
      </c>
      <c r="C2" s="3" t="s">
        <v>6</v>
      </c>
      <c r="D2" s="3" t="s">
        <v>7</v>
      </c>
      <c r="E2" s="11">
        <v>45000</v>
      </c>
    </row>
    <row r="3" spans="1:5" x14ac:dyDescent="0.35">
      <c r="A3" s="7">
        <v>45665</v>
      </c>
      <c r="B3" s="3" t="s">
        <v>8</v>
      </c>
      <c r="C3" s="3" t="s">
        <v>9</v>
      </c>
      <c r="D3" s="3" t="s">
        <v>10</v>
      </c>
      <c r="E3" s="11">
        <v>2450.5</v>
      </c>
    </row>
    <row r="4" spans="1:5" x14ac:dyDescent="0.35">
      <c r="A4" s="7">
        <v>45669</v>
      </c>
      <c r="B4" s="3" t="s">
        <v>11</v>
      </c>
      <c r="C4" s="3" t="s">
        <v>12</v>
      </c>
      <c r="D4" s="3" t="s">
        <v>10</v>
      </c>
      <c r="E4" s="11">
        <v>850</v>
      </c>
    </row>
    <row r="5" spans="1:5" x14ac:dyDescent="0.35">
      <c r="A5" s="7">
        <v>45672</v>
      </c>
      <c r="B5" s="3" t="s">
        <v>13</v>
      </c>
      <c r="C5" s="3" t="s">
        <v>14</v>
      </c>
      <c r="D5" s="3" t="s">
        <v>10</v>
      </c>
      <c r="E5" s="11">
        <v>649</v>
      </c>
    </row>
    <row r="6" spans="1:5" x14ac:dyDescent="0.35">
      <c r="A6" s="7">
        <v>45677</v>
      </c>
      <c r="B6" s="3" t="s">
        <v>15</v>
      </c>
      <c r="C6" s="3" t="s">
        <v>16</v>
      </c>
      <c r="D6" s="3" t="s">
        <v>10</v>
      </c>
      <c r="E6" s="11">
        <v>1850.75</v>
      </c>
    </row>
    <row r="7" spans="1:5" x14ac:dyDescent="0.35">
      <c r="A7" s="7">
        <v>45682</v>
      </c>
      <c r="B7" s="3" t="s">
        <v>17</v>
      </c>
      <c r="C7" s="3" t="s">
        <v>18</v>
      </c>
      <c r="D7" s="3" t="s">
        <v>7</v>
      </c>
      <c r="E7" s="11">
        <v>8000</v>
      </c>
    </row>
    <row r="8" spans="1:5" x14ac:dyDescent="0.35">
      <c r="A8" s="7">
        <v>45690</v>
      </c>
      <c r="B8" s="3" t="s">
        <v>8</v>
      </c>
      <c r="C8" s="3" t="s">
        <v>9</v>
      </c>
      <c r="D8" s="3" t="s">
        <v>10</v>
      </c>
      <c r="E8" s="11">
        <v>2780.4</v>
      </c>
    </row>
    <row r="9" spans="1:5" x14ac:dyDescent="0.35">
      <c r="A9" s="7">
        <v>45693</v>
      </c>
      <c r="B9" s="3" t="s">
        <v>5</v>
      </c>
      <c r="C9" s="3" t="s">
        <v>6</v>
      </c>
      <c r="D9" s="3" t="s">
        <v>7</v>
      </c>
      <c r="E9" s="11">
        <v>45000</v>
      </c>
    </row>
    <row r="10" spans="1:5" x14ac:dyDescent="0.35">
      <c r="A10" s="7">
        <v>45698</v>
      </c>
      <c r="B10" s="3" t="s">
        <v>19</v>
      </c>
      <c r="C10" s="3" t="s">
        <v>12</v>
      </c>
      <c r="D10" s="3" t="s">
        <v>10</v>
      </c>
      <c r="E10" s="11">
        <v>2200</v>
      </c>
    </row>
    <row r="11" spans="1:5" x14ac:dyDescent="0.35">
      <c r="A11" s="7">
        <v>45702</v>
      </c>
      <c r="B11" s="18" t="s">
        <v>20</v>
      </c>
      <c r="C11" s="3" t="s">
        <v>14</v>
      </c>
      <c r="D11" s="3" t="s">
        <v>10</v>
      </c>
      <c r="E11" s="11">
        <v>900</v>
      </c>
    </row>
    <row r="12" spans="1:5" x14ac:dyDescent="0.35">
      <c r="A12" s="7">
        <v>45706</v>
      </c>
      <c r="B12" s="3" t="s">
        <v>21</v>
      </c>
      <c r="C12" s="3" t="s">
        <v>22</v>
      </c>
      <c r="D12" s="3" t="s">
        <v>10</v>
      </c>
      <c r="E12" s="11">
        <v>1250.25</v>
      </c>
    </row>
    <row r="13" spans="1:5" x14ac:dyDescent="0.35">
      <c r="A13" s="7">
        <v>45712</v>
      </c>
      <c r="B13" s="3" t="s">
        <v>23</v>
      </c>
      <c r="C13" s="3" t="s">
        <v>24</v>
      </c>
      <c r="D13" s="3" t="s">
        <v>10</v>
      </c>
      <c r="E13" s="11">
        <v>3500</v>
      </c>
    </row>
    <row r="14" spans="1:5" x14ac:dyDescent="0.35">
      <c r="A14" s="7">
        <v>45721</v>
      </c>
      <c r="B14" s="3" t="s">
        <v>5</v>
      </c>
      <c r="C14" s="3" t="s">
        <v>6</v>
      </c>
      <c r="D14" s="3" t="s">
        <v>7</v>
      </c>
      <c r="E14" s="11">
        <v>45000</v>
      </c>
    </row>
    <row r="15" spans="1:5" x14ac:dyDescent="0.35">
      <c r="A15" s="7">
        <v>45724</v>
      </c>
      <c r="B15" s="3" t="s">
        <v>8</v>
      </c>
      <c r="C15" s="18" t="s">
        <v>9</v>
      </c>
      <c r="D15" s="3" t="s">
        <v>10</v>
      </c>
      <c r="E15" s="11">
        <v>2610.8000000000002</v>
      </c>
    </row>
    <row r="16" spans="1:5" x14ac:dyDescent="0.35">
      <c r="A16" s="7">
        <v>45728</v>
      </c>
      <c r="B16" s="3" t="s">
        <v>25</v>
      </c>
      <c r="C16" s="3" t="s">
        <v>12</v>
      </c>
      <c r="D16" s="3" t="s">
        <v>10</v>
      </c>
      <c r="E16" s="11">
        <v>650</v>
      </c>
    </row>
    <row r="17" spans="1:5" x14ac:dyDescent="0.35">
      <c r="A17" s="7">
        <v>45734</v>
      </c>
      <c r="B17" s="3" t="s">
        <v>26</v>
      </c>
      <c r="C17" s="3" t="s">
        <v>16</v>
      </c>
      <c r="D17" s="3" t="s">
        <v>10</v>
      </c>
      <c r="E17" s="11">
        <v>1199</v>
      </c>
    </row>
    <row r="18" spans="1:5" x14ac:dyDescent="0.35">
      <c r="A18" s="7">
        <v>45738</v>
      </c>
      <c r="B18" s="3" t="s">
        <v>17</v>
      </c>
      <c r="C18" s="3" t="s">
        <v>18</v>
      </c>
      <c r="D18" s="3" t="s">
        <v>7</v>
      </c>
      <c r="E18" s="11">
        <v>9500</v>
      </c>
    </row>
    <row r="19" spans="1:5" x14ac:dyDescent="0.35">
      <c r="A19" s="7">
        <v>45744</v>
      </c>
      <c r="B19" s="3" t="s">
        <v>27</v>
      </c>
      <c r="C19" s="3" t="s">
        <v>22</v>
      </c>
      <c r="D19" s="3" t="s">
        <v>10</v>
      </c>
      <c r="E19" s="11">
        <v>1800</v>
      </c>
    </row>
    <row r="20" spans="1:5" x14ac:dyDescent="0.35">
      <c r="A20" s="7">
        <v>45752</v>
      </c>
      <c r="B20" s="3" t="s">
        <v>5</v>
      </c>
      <c r="C20" s="3" t="s">
        <v>6</v>
      </c>
      <c r="D20" s="3" t="s">
        <v>7</v>
      </c>
      <c r="E20" s="11">
        <v>45000</v>
      </c>
    </row>
    <row r="21" spans="1:5" x14ac:dyDescent="0.35">
      <c r="A21" s="7">
        <v>45756</v>
      </c>
      <c r="B21" s="3" t="s">
        <v>8</v>
      </c>
      <c r="C21" s="3" t="s">
        <v>9</v>
      </c>
      <c r="D21" s="3" t="s">
        <v>10</v>
      </c>
      <c r="E21" s="11">
        <v>2895.65</v>
      </c>
    </row>
    <row r="22" spans="1:5" x14ac:dyDescent="0.35">
      <c r="A22" s="7">
        <v>45762</v>
      </c>
      <c r="B22" s="3" t="s">
        <v>28</v>
      </c>
      <c r="C22" s="3" t="s">
        <v>24</v>
      </c>
      <c r="D22" s="3" t="s">
        <v>10</v>
      </c>
      <c r="E22" s="11">
        <v>4200</v>
      </c>
    </row>
    <row r="23" spans="1:5" x14ac:dyDescent="0.35">
      <c r="A23" s="7">
        <v>45767</v>
      </c>
      <c r="B23" s="3" t="s">
        <v>29</v>
      </c>
      <c r="C23" s="3" t="s">
        <v>22</v>
      </c>
      <c r="D23" s="3" t="s">
        <v>10</v>
      </c>
      <c r="E23" s="11">
        <v>2500</v>
      </c>
    </row>
    <row r="24" spans="1:5" x14ac:dyDescent="0.35">
      <c r="A24" s="7">
        <v>45772</v>
      </c>
      <c r="B24" s="3" t="s">
        <v>15</v>
      </c>
      <c r="C24" s="3" t="s">
        <v>16</v>
      </c>
      <c r="D24" s="3" t="s">
        <v>10</v>
      </c>
      <c r="E24" s="11">
        <v>2100</v>
      </c>
    </row>
    <row r="25" spans="1:5" x14ac:dyDescent="0.35">
      <c r="A25" s="7">
        <v>45782</v>
      </c>
      <c r="B25" s="3" t="s">
        <v>5</v>
      </c>
      <c r="C25" s="3" t="s">
        <v>6</v>
      </c>
      <c r="D25" s="3" t="s">
        <v>7</v>
      </c>
      <c r="E25" s="11">
        <v>47000</v>
      </c>
    </row>
    <row r="26" spans="1:5" x14ac:dyDescent="0.35">
      <c r="A26" s="7">
        <v>45785</v>
      </c>
      <c r="B26" s="3" t="s">
        <v>8</v>
      </c>
      <c r="C26" s="3" t="s">
        <v>9</v>
      </c>
      <c r="D26" s="3" t="s">
        <v>10</v>
      </c>
      <c r="E26" s="11">
        <v>3050.25</v>
      </c>
    </row>
    <row r="27" spans="1:5" x14ac:dyDescent="0.35">
      <c r="A27" s="7">
        <v>45790</v>
      </c>
      <c r="B27" s="3" t="s">
        <v>11</v>
      </c>
      <c r="C27" s="3" t="s">
        <v>12</v>
      </c>
      <c r="D27" s="3" t="s">
        <v>10</v>
      </c>
      <c r="E27" s="11">
        <v>900</v>
      </c>
    </row>
    <row r="28" spans="1:5" x14ac:dyDescent="0.35">
      <c r="A28" s="7">
        <v>45795</v>
      </c>
      <c r="B28" s="3" t="s">
        <v>30</v>
      </c>
      <c r="C28" s="3" t="s">
        <v>14</v>
      </c>
      <c r="D28" s="3" t="s">
        <v>10</v>
      </c>
      <c r="E28" s="11">
        <v>119</v>
      </c>
    </row>
    <row r="29" spans="1:5" x14ac:dyDescent="0.35">
      <c r="A29" s="7">
        <v>45800</v>
      </c>
      <c r="B29" s="3" t="s">
        <v>17</v>
      </c>
      <c r="C29" s="3" t="s">
        <v>18</v>
      </c>
      <c r="D29" s="3" t="s">
        <v>7</v>
      </c>
      <c r="E29" s="11">
        <v>11000</v>
      </c>
    </row>
    <row r="30" spans="1:5" x14ac:dyDescent="0.35">
      <c r="A30" s="7">
        <v>45813</v>
      </c>
      <c r="B30" s="3" t="s">
        <v>5</v>
      </c>
      <c r="C30" s="3" t="s">
        <v>6</v>
      </c>
      <c r="D30" s="3" t="s">
        <v>7</v>
      </c>
      <c r="E30" s="11">
        <v>47000</v>
      </c>
    </row>
    <row r="31" spans="1:5" x14ac:dyDescent="0.35">
      <c r="A31" s="7">
        <v>45819</v>
      </c>
      <c r="B31" s="3" t="s">
        <v>8</v>
      </c>
      <c r="C31" s="3" t="s">
        <v>9</v>
      </c>
      <c r="D31" s="3" t="s">
        <v>10</v>
      </c>
      <c r="E31" s="11">
        <v>2725.4</v>
      </c>
    </row>
    <row r="32" spans="1:5" x14ac:dyDescent="0.35">
      <c r="A32" s="7">
        <v>45825</v>
      </c>
      <c r="B32" s="3" t="s">
        <v>19</v>
      </c>
      <c r="C32" s="3" t="s">
        <v>12</v>
      </c>
      <c r="D32" s="3" t="s">
        <v>10</v>
      </c>
      <c r="E32" s="11">
        <v>2500</v>
      </c>
    </row>
    <row r="33" spans="1:5" x14ac:dyDescent="0.35">
      <c r="A33" s="7">
        <v>45830</v>
      </c>
      <c r="B33" s="3" t="s">
        <v>23</v>
      </c>
      <c r="C33" s="3" t="s">
        <v>24</v>
      </c>
      <c r="D33" s="3" t="s">
        <v>10</v>
      </c>
      <c r="E33" s="11">
        <v>3800</v>
      </c>
    </row>
    <row r="34" spans="1:5" x14ac:dyDescent="0.35">
      <c r="A34" s="7">
        <v>45843</v>
      </c>
      <c r="B34" s="3" t="s">
        <v>5</v>
      </c>
      <c r="C34" s="3" t="s">
        <v>6</v>
      </c>
      <c r="D34" s="3" t="s">
        <v>7</v>
      </c>
      <c r="E34" s="11">
        <v>47000</v>
      </c>
    </row>
    <row r="35" spans="1:5" x14ac:dyDescent="0.35">
      <c r="A35" s="7">
        <v>45848</v>
      </c>
      <c r="B35" s="3" t="s">
        <v>8</v>
      </c>
      <c r="C35" s="3" t="s">
        <v>9</v>
      </c>
      <c r="D35" s="3" t="s">
        <v>10</v>
      </c>
      <c r="E35" s="11">
        <v>2950.75</v>
      </c>
    </row>
    <row r="36" spans="1:5" x14ac:dyDescent="0.35">
      <c r="A36" s="7">
        <v>45853</v>
      </c>
      <c r="B36" s="3" t="s">
        <v>20</v>
      </c>
      <c r="C36" s="3" t="s">
        <v>14</v>
      </c>
      <c r="D36" s="3" t="s">
        <v>10</v>
      </c>
      <c r="E36" s="11">
        <v>750</v>
      </c>
    </row>
    <row r="37" spans="1:5" x14ac:dyDescent="0.35">
      <c r="A37" s="7">
        <v>45859</v>
      </c>
      <c r="B37" s="3" t="s">
        <v>15</v>
      </c>
      <c r="C37" s="3" t="s">
        <v>16</v>
      </c>
      <c r="D37" s="3" t="s">
        <v>10</v>
      </c>
      <c r="E37" s="11">
        <v>1950</v>
      </c>
    </row>
    <row r="38" spans="1:5" x14ac:dyDescent="0.35">
      <c r="A38" s="7">
        <v>45874</v>
      </c>
      <c r="B38" s="3" t="s">
        <v>5</v>
      </c>
      <c r="C38" s="3" t="s">
        <v>6</v>
      </c>
      <c r="D38" s="3" t="s">
        <v>7</v>
      </c>
      <c r="E38" s="11">
        <v>50000</v>
      </c>
    </row>
    <row r="39" spans="1:5" x14ac:dyDescent="0.35">
      <c r="A39" s="7">
        <v>45912</v>
      </c>
      <c r="B39" s="3" t="s">
        <v>31</v>
      </c>
      <c r="C39" s="3" t="s">
        <v>22</v>
      </c>
      <c r="D39" s="3" t="s">
        <v>10</v>
      </c>
      <c r="E39" s="11">
        <v>2200</v>
      </c>
    </row>
    <row r="40" spans="1:5" x14ac:dyDescent="0.35">
      <c r="A40" s="7">
        <v>45940</v>
      </c>
      <c r="B40" s="3" t="s">
        <v>17</v>
      </c>
      <c r="C40" s="3" t="s">
        <v>18</v>
      </c>
      <c r="D40" s="3" t="s">
        <v>7</v>
      </c>
      <c r="E40" s="11">
        <v>12000</v>
      </c>
    </row>
    <row r="41" spans="1:5" x14ac:dyDescent="0.35">
      <c r="A41" s="7">
        <v>45976</v>
      </c>
      <c r="B41" s="3" t="s">
        <v>32</v>
      </c>
      <c r="C41" s="3" t="s">
        <v>24</v>
      </c>
      <c r="D41" s="3" t="s">
        <v>10</v>
      </c>
      <c r="E41" s="11">
        <v>6500</v>
      </c>
    </row>
    <row r="42" spans="1:5" x14ac:dyDescent="0.35">
      <c r="A42" s="7">
        <v>45996</v>
      </c>
      <c r="B42" s="3" t="s">
        <v>5</v>
      </c>
      <c r="C42" s="3" t="s">
        <v>6</v>
      </c>
      <c r="D42" s="3" t="s">
        <v>7</v>
      </c>
      <c r="E42" s="11">
        <v>50000</v>
      </c>
    </row>
    <row r="43" spans="1:5" x14ac:dyDescent="0.35">
      <c r="A43" s="7">
        <v>46009</v>
      </c>
      <c r="B43" s="3" t="s">
        <v>33</v>
      </c>
      <c r="C43" s="3" t="s">
        <v>14</v>
      </c>
      <c r="D43" s="3" t="s">
        <v>10</v>
      </c>
      <c r="E43" s="11">
        <v>8500</v>
      </c>
    </row>
  </sheetData>
  <sortState xmlns:xlrd2="http://schemas.microsoft.com/office/spreadsheetml/2017/richdata2" ref="A2:A41">
    <sortCondition ref="A2:A41"/>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584A-D6D7-4A93-A0C8-CE08C151C99D}">
  <dimension ref="A1:H19"/>
  <sheetViews>
    <sheetView workbookViewId="0">
      <selection activeCell="C17" sqref="C17"/>
    </sheetView>
  </sheetViews>
  <sheetFormatPr defaultRowHeight="14.5" x14ac:dyDescent="0.35"/>
  <cols>
    <col min="1" max="1" width="10.6328125" bestFit="1" customWidth="1"/>
    <col min="2" max="2" width="16.08984375" customWidth="1"/>
    <col min="3" max="3" width="17.08984375" customWidth="1"/>
    <col min="4" max="4" width="15.1796875" customWidth="1"/>
    <col min="6" max="6" width="9.453125" customWidth="1"/>
    <col min="7" max="7" width="23.90625" bestFit="1" customWidth="1"/>
    <col min="8" max="8" width="13.453125" customWidth="1"/>
  </cols>
  <sheetData>
    <row r="1" spans="1:8" ht="18.5" x14ac:dyDescent="0.45">
      <c r="A1" s="10" t="s">
        <v>38</v>
      </c>
      <c r="G1" s="10" t="s">
        <v>55</v>
      </c>
    </row>
    <row r="2" spans="1:8" s="1" customFormat="1" x14ac:dyDescent="0.35">
      <c r="A2" s="15" t="s">
        <v>34</v>
      </c>
      <c r="B2" s="15" t="s">
        <v>35</v>
      </c>
      <c r="C2" s="15" t="s">
        <v>36</v>
      </c>
      <c r="D2" s="15" t="s">
        <v>37</v>
      </c>
      <c r="E2" s="15" t="s">
        <v>80</v>
      </c>
      <c r="G2" s="15" t="s">
        <v>2</v>
      </c>
      <c r="H2" s="15" t="s">
        <v>56</v>
      </c>
    </row>
    <row r="3" spans="1:8" x14ac:dyDescent="0.35">
      <c r="A3" s="13" t="s">
        <v>39</v>
      </c>
      <c r="B3" s="14">
        <f>IFERROR(SUMIFS(Table1[AMOUNT],Table1[TYPE],"Income",Table1[DATE],"&gt;="&amp;DATE(2025,1,1),Table1[DATE],"&lt;"&amp;DATE(2025,2,1)),0)</f>
        <v>53000</v>
      </c>
      <c r="C3" s="14">
        <f>SUMIFS(Table1[AMOUNT],Table1[TYPE],"Expense",Table1[DATE],"&gt;="&amp;DATE(2025,1,1),Table1[DATE],"&lt;"&amp;DATE(2025,2,1))</f>
        <v>5800.25</v>
      </c>
      <c r="D3" s="14">
        <f>B3-C3</f>
        <v>47199.75</v>
      </c>
      <c r="E3" s="13" t="str">
        <f>IF(D3&lt;0,"DEFICIT!",IF(D3/B3&lt;0.1,"LOW SAVINGS",IF(D3/B3&lt;0.3,"MODERATE","HEALTHY")))</f>
        <v>HEALTHY</v>
      </c>
      <c r="G3" s="13" t="s">
        <v>9</v>
      </c>
      <c r="H3" s="14">
        <f>SUMIFS(Table1[AMOUNT],Table1[CATEGORY],SUMMARY!G3,Table1[TYPE],"Expense")</f>
        <v>19463.75</v>
      </c>
    </row>
    <row r="4" spans="1:8" x14ac:dyDescent="0.35">
      <c r="A4" s="13" t="s">
        <v>40</v>
      </c>
      <c r="B4" s="14">
        <f>IFERROR(SUMIFS(Table1[AMOUNT],Table1[TYPE],"Income",Table1[DATE],"&gt;="&amp;DATE(2025,2,1),Table1[DATE],"&lt;"&amp;DATE(2025,3,1)),"Not Found")</f>
        <v>45000</v>
      </c>
      <c r="C4" s="14">
        <f>SUMIFS(Table1[AMOUNT],Table1[TYPE],"Expense",Table1[DATE],"&gt;="&amp;DATE(2025,2,1),Table1[DATE],"&lt;"&amp;DATE(2025,3,1))</f>
        <v>10630.65</v>
      </c>
      <c r="D4" s="14">
        <f t="shared" ref="D4:D14" si="0">B4-C4</f>
        <v>34369.35</v>
      </c>
      <c r="E4" s="13" t="str">
        <f t="shared" ref="E4:E14" si="1">IF(D4&lt;0,"DEFICIT!",IF(D4/B4&lt;0.1,"LOW SAVINGS",IF(D4/B4&lt;0.3,"MODERATE","HEALTHY")))</f>
        <v>HEALTHY</v>
      </c>
      <c r="G4" s="13" t="s">
        <v>12</v>
      </c>
      <c r="H4" s="14">
        <f>SUMIFS(Table1[AMOUNT],Table1[CATEGORY],SUMMARY!G4,Table1[TYPE],"Expense")</f>
        <v>7100</v>
      </c>
    </row>
    <row r="5" spans="1:8" x14ac:dyDescent="0.35">
      <c r="A5" s="13" t="s">
        <v>41</v>
      </c>
      <c r="B5" s="14">
        <f>IFERROR(SUMIFS(Table1[AMOUNT],Table1[TYPE],"Income",Table1[DATE],"&gt;="&amp;DATE(2025,3,1),Table1[DATE],"&lt;"&amp;DATE(2025,4,1)),"Not Found")</f>
        <v>54500</v>
      </c>
      <c r="C5" s="14">
        <f>SUMIFS(Table1[AMOUNT],Table1[TYPE],"Expense",Table1[DATE],"&gt;="&amp;DATE(2025,3,1),Table1[DATE],"&lt;"&amp;DATE(2025,4,1))</f>
        <v>6259.8</v>
      </c>
      <c r="D5" s="14">
        <f t="shared" si="0"/>
        <v>48240.2</v>
      </c>
      <c r="E5" s="13" t="str">
        <f t="shared" si="1"/>
        <v>HEALTHY</v>
      </c>
      <c r="G5" s="13" t="s">
        <v>14</v>
      </c>
      <c r="H5" s="14">
        <f>SUMIFS(Table1[AMOUNT],Table1[CATEGORY],SUMMARY!G5,Table1[TYPE],"Expense")</f>
        <v>10918</v>
      </c>
    </row>
    <row r="6" spans="1:8" x14ac:dyDescent="0.35">
      <c r="A6" s="13" t="s">
        <v>42</v>
      </c>
      <c r="B6" s="14">
        <f>IFERROR(SUMIFS(Table1[AMOUNT],Table1[TYPE],"Income",Table1[DATE],"&gt;="&amp;DATE(2025,4,1),Table1[DATE],"&lt;"&amp;DATE(2025,5,1)),"Not Found")</f>
        <v>45000</v>
      </c>
      <c r="C6" s="14">
        <f>SUMIFS(Table1[AMOUNT],Table1[TYPE],"Expense",Table1[DATE],"&gt;="&amp;DATE(2025,4,1),Table1[DATE],"&lt;"&amp;DATE(2025,5,1))</f>
        <v>11695.65</v>
      </c>
      <c r="D6" s="14">
        <f t="shared" si="0"/>
        <v>33304.35</v>
      </c>
      <c r="E6" s="13" t="str">
        <f t="shared" si="1"/>
        <v>HEALTHY</v>
      </c>
      <c r="G6" s="13" t="s">
        <v>16</v>
      </c>
      <c r="H6" s="14">
        <f>SUMIFS(Table1[AMOUNT],Table1[CATEGORY],SUMMARY!G6,Table1[TYPE],"Expense")</f>
        <v>7099.75</v>
      </c>
    </row>
    <row r="7" spans="1:8" x14ac:dyDescent="0.35">
      <c r="A7" s="13" t="s">
        <v>43</v>
      </c>
      <c r="B7" s="14">
        <f>IFERROR(SUMIFS(Table1[AMOUNT],Table1[TYPE],"Income",Table1[DATE],"&gt;="&amp;DATE(2025,5,1),Table1[DATE],"&lt;"&amp;DATE(2025,6,1)),"Not Found")</f>
        <v>58000</v>
      </c>
      <c r="C7" s="14">
        <f>SUMIFS(Table1[AMOUNT],Table1[TYPE],"Expense",Table1[DATE],"&gt;="&amp;DATE(2025,5,1),Table1[DATE],"&lt;"&amp;DATE(2025,6,1))</f>
        <v>4069.25</v>
      </c>
      <c r="D7" s="14">
        <f t="shared" si="0"/>
        <v>53930.75</v>
      </c>
      <c r="E7" s="13" t="str">
        <f t="shared" si="1"/>
        <v>HEALTHY</v>
      </c>
      <c r="G7" s="13" t="s">
        <v>18</v>
      </c>
      <c r="H7" s="14">
        <f>SUMIFS(Table1[AMOUNT],Table1[CATEGORY],SUMMARY!G7,Table1[TYPE],"Expense")</f>
        <v>0</v>
      </c>
    </row>
    <row r="8" spans="1:8" x14ac:dyDescent="0.35">
      <c r="A8" s="13" t="s">
        <v>44</v>
      </c>
      <c r="B8" s="14">
        <f>SUMIFS(Table1[AMOUNT],Table1[TYPE],"Income",Table1[DATE],"&gt;="&amp;DATE(2025,6,1),Table1[DATE],"&lt;"&amp;DATE(2025,7,1))</f>
        <v>47000</v>
      </c>
      <c r="C8" s="14">
        <f>SUMIFS(Table1[AMOUNT],Table1[TYPE],"Expense",Table1[DATE],"&gt;="&amp;DATE(2025,6,1),Table1[DATE],"&lt;"&amp;DATE(2025,7,1))</f>
        <v>9025.4</v>
      </c>
      <c r="D8" s="14">
        <f t="shared" si="0"/>
        <v>37974.6</v>
      </c>
      <c r="E8" s="13" t="str">
        <f t="shared" si="1"/>
        <v>HEALTHY</v>
      </c>
      <c r="G8" s="13" t="s">
        <v>22</v>
      </c>
      <c r="H8" s="14">
        <f>SUMIFS(Table1[AMOUNT],Table1[CATEGORY],SUMMARY!G8,Table1[TYPE],"Expense")</f>
        <v>7750.25</v>
      </c>
    </row>
    <row r="9" spans="1:8" x14ac:dyDescent="0.35">
      <c r="A9" s="13" t="s">
        <v>45</v>
      </c>
      <c r="B9" s="14">
        <f>SUMIFS(Table1[AMOUNT],Table1[TYPE],"Income",Table1[DATE],"&gt;="&amp;DATE(2025,7,1),Table1[DATE],"&lt;"&amp;DATE(2025,8,1))</f>
        <v>47000</v>
      </c>
      <c r="C9" s="14">
        <f>SUMIFS(Table1[AMOUNT],Table1[TYPE],"Expense",Table1[DATE],"&gt;="&amp;DATE(2025,7,1),Table1[DATE],"&lt;"&amp;DATE(2025,8,1))</f>
        <v>5650.75</v>
      </c>
      <c r="D9" s="14">
        <f t="shared" si="0"/>
        <v>41349.25</v>
      </c>
      <c r="E9" s="13" t="str">
        <f t="shared" si="1"/>
        <v>HEALTHY</v>
      </c>
      <c r="G9" s="13" t="s">
        <v>24</v>
      </c>
      <c r="H9" s="14">
        <f>SUMIFS(Table1[AMOUNT],Table1[CATEGORY],SUMMARY!G9,Table1[TYPE],"Expense")</f>
        <v>18000</v>
      </c>
    </row>
    <row r="10" spans="1:8" x14ac:dyDescent="0.35">
      <c r="A10" s="13" t="s">
        <v>46</v>
      </c>
      <c r="B10" s="14">
        <f>SUMIFS(Table1[AMOUNT],Table1[TYPE],"Income",Table1[DATE],"&gt;="&amp;DATE(2025,8,1),Table1[DATE],"&lt;"&amp;DATE(2025,9,1))</f>
        <v>50000</v>
      </c>
      <c r="C10" s="14">
        <f>SUMIFS(Table1[AMOUNT],Table1[TYPE],"Expense",Table1[DATE],"&gt;="&amp;DATE(2025,8,1),Table1[DATE],"&lt;"&amp;DATE(2025,9,1))</f>
        <v>0</v>
      </c>
      <c r="D10" s="14">
        <f t="shared" si="0"/>
        <v>50000</v>
      </c>
      <c r="E10" s="13" t="str">
        <f t="shared" si="1"/>
        <v>HEALTHY</v>
      </c>
    </row>
    <row r="11" spans="1:8" ht="15.5" x14ac:dyDescent="0.35">
      <c r="A11" s="13" t="s">
        <v>47</v>
      </c>
      <c r="B11" s="14">
        <f>SUMIFS(Table1[AMOUNT],Table1[TYPE],"Income",Table1[DATE],"&gt;="&amp;DATE(2025,9,1),Table1[DATE],"&lt;"&amp;DATE(2025,10,1))</f>
        <v>0</v>
      </c>
      <c r="C11" s="14">
        <f>SUMIFS(Table1[AMOUNT],Table1[TYPE],"Expense",Table1[DATE],"&gt;="&amp;DATE(2025,9,1),Table1[DATE],"&lt;"&amp;DATE(2025,10,1))</f>
        <v>2200</v>
      </c>
      <c r="D11" s="14">
        <f t="shared" si="0"/>
        <v>-2200</v>
      </c>
      <c r="E11" s="13" t="str">
        <f t="shared" si="1"/>
        <v>DEFICIT!</v>
      </c>
      <c r="G11" s="17" t="s">
        <v>57</v>
      </c>
      <c r="H11" s="13" t="str">
        <f>INDEX(A3:A14,MATCH(MAX(D3:D14),D3:D14,0),1)</f>
        <v>MAY</v>
      </c>
    </row>
    <row r="12" spans="1:8" ht="15.5" x14ac:dyDescent="0.35">
      <c r="A12" s="13" t="s">
        <v>48</v>
      </c>
      <c r="B12" s="14">
        <f>SUMIFS(Table1[AMOUNT],Table1[TYPE],"Income",Table1[DATE],"&gt;="&amp;DATE(2025,10,1),Table1[DATE],"&lt;"&amp;DATE(2025,11,1))</f>
        <v>12000</v>
      </c>
      <c r="C12" s="14">
        <f>SUMIFS(Table1[AMOUNT],Table1[TYPE],"Expense",Table1[DATE],"&gt;="&amp;DATE(2025,10,1),Table1[DATE],"&lt;"&amp;DATE(2025,11,1))</f>
        <v>0</v>
      </c>
      <c r="D12" s="14">
        <f t="shared" si="0"/>
        <v>12000</v>
      </c>
      <c r="E12" s="13" t="str">
        <f t="shared" si="1"/>
        <v>HEALTHY</v>
      </c>
      <c r="G12" s="17" t="s">
        <v>58</v>
      </c>
      <c r="H12" s="13" t="str">
        <f>INDEX(A3:A14,MATCH(MIN(D3:D14),D3:D14,0),1)</f>
        <v>NOVEMBER</v>
      </c>
    </row>
    <row r="13" spans="1:8" x14ac:dyDescent="0.35">
      <c r="A13" s="13" t="s">
        <v>49</v>
      </c>
      <c r="B13" s="14">
        <f>SUMIFS(Table1[AMOUNT],Table1[TYPE],"Income",Table1[DATE],"&gt;="&amp;DATE(2025,11,1),Table1[DATE],"&lt;"&amp;DATE(2025,12,1))</f>
        <v>0</v>
      </c>
      <c r="C13" s="14">
        <f>SUMIFS(Table1[AMOUNT],Table1[TYPE],"Expense",Table1[DATE],"&gt;="&amp;DATE(2025,11,1),Table1[DATE],"&lt;"&amp;DATE(2025,12,1))</f>
        <v>6500</v>
      </c>
      <c r="D13" s="14">
        <f t="shared" si="0"/>
        <v>-6500</v>
      </c>
      <c r="E13" s="13" t="str">
        <f t="shared" si="1"/>
        <v>DEFICIT!</v>
      </c>
    </row>
    <row r="14" spans="1:8" x14ac:dyDescent="0.35">
      <c r="A14" s="13" t="s">
        <v>50</v>
      </c>
      <c r="B14" s="14">
        <f>SUMIFS(Table1[AMOUNT],Table1[TYPE],"Income",Table1[DATE],"&gt;="&amp;DATE(2025,12,1))</f>
        <v>50000</v>
      </c>
      <c r="C14" s="14">
        <f>SUMIFS(Table1[AMOUNT],Table1[TYPE],"Expense",Table1[DATE],"&gt;="&amp;DATE(2025,12,1))</f>
        <v>8500</v>
      </c>
      <c r="D14" s="14">
        <f t="shared" si="0"/>
        <v>41500</v>
      </c>
      <c r="E14" s="13" t="str">
        <f t="shared" si="1"/>
        <v>HEALTHY</v>
      </c>
    </row>
    <row r="16" spans="1:8" ht="15.5" x14ac:dyDescent="0.35">
      <c r="A16" s="22" t="s">
        <v>51</v>
      </c>
      <c r="B16" s="22"/>
      <c r="C16" s="14">
        <f>SUM(B3:B14)</f>
        <v>461500</v>
      </c>
    </row>
    <row r="17" spans="1:3" ht="15.5" x14ac:dyDescent="0.35">
      <c r="A17" s="22" t="s">
        <v>52</v>
      </c>
      <c r="B17" s="22"/>
      <c r="C17" s="14">
        <f>SUM(C3:C14)</f>
        <v>70331.75</v>
      </c>
    </row>
    <row r="18" spans="1:3" ht="15.5" x14ac:dyDescent="0.35">
      <c r="A18" s="22" t="s">
        <v>53</v>
      </c>
      <c r="B18" s="22"/>
      <c r="C18" s="14">
        <f>C16-C17</f>
        <v>391168.25</v>
      </c>
    </row>
    <row r="19" spans="1:3" ht="15.5" x14ac:dyDescent="0.35">
      <c r="A19" s="22" t="s">
        <v>54</v>
      </c>
      <c r="B19" s="22"/>
      <c r="C19" s="16">
        <f>(C18/C16)</f>
        <v>0.84760184182015164</v>
      </c>
    </row>
  </sheetData>
  <mergeCells count="4">
    <mergeCell ref="A16:B16"/>
    <mergeCell ref="A17:B17"/>
    <mergeCell ref="A18:B18"/>
    <mergeCell ref="A19:B19"/>
  </mergeCells>
  <phoneticPr fontId="6" type="noConversion"/>
  <conditionalFormatting sqref="C19">
    <cfRule type="cellIs" dxfId="9" priority="4" operator="greaterThan">
      <formula>0</formula>
    </cfRule>
    <cfRule type="cellIs" dxfId="8" priority="5" operator="lessThan">
      <formula>0</formula>
    </cfRule>
  </conditionalFormatting>
  <conditionalFormatting sqref="D3:D14">
    <cfRule type="cellIs" dxfId="7" priority="6" operator="lessThan">
      <formula>0</formula>
    </cfRule>
    <cfRule type="cellIs" dxfId="6" priority="7" operator="greaterThan">
      <formula>0</formula>
    </cfRule>
  </conditionalFormatting>
  <conditionalFormatting sqref="E3:E14">
    <cfRule type="containsText" dxfId="5" priority="1" operator="containsText" text="MODERATE">
      <formula>NOT(ISERROR(SEARCH("MODERATE",E3)))</formula>
    </cfRule>
    <cfRule type="containsText" dxfId="4" priority="2" operator="containsText" text="DEFICIT!">
      <formula>NOT(ISERROR(SEARCH("DEFICIT!",E3)))</formula>
    </cfRule>
    <cfRule type="containsText" dxfId="3" priority="3" operator="containsText" text="HEALTHY">
      <formula>NOT(ISERROR(SEARCH("HEALTHY",E3)))</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A3A17-3A97-468A-82F1-4DC1BAC649AA}">
  <dimension ref="A1"/>
  <sheetViews>
    <sheetView zoomScale="99" workbookViewId="0">
      <selection activeCell="P10" sqref="P10"/>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D1F21-D2E5-4ACA-822C-3BDCDF701B39}">
  <dimension ref="A1:P8"/>
  <sheetViews>
    <sheetView workbookViewId="0">
      <selection activeCell="D5" sqref="D5"/>
    </sheetView>
  </sheetViews>
  <sheetFormatPr defaultRowHeight="14.5" x14ac:dyDescent="0.35"/>
  <cols>
    <col min="1" max="1" width="15" bestFit="1" customWidth="1"/>
    <col min="2" max="2" width="16.7265625" bestFit="1" customWidth="1"/>
    <col min="3" max="3" width="15.26953125" bestFit="1" customWidth="1"/>
    <col min="4" max="4" width="13.1796875" bestFit="1" customWidth="1"/>
    <col min="5" max="5" width="20.81640625" customWidth="1"/>
    <col min="6" max="6" width="19.6328125" bestFit="1" customWidth="1"/>
  </cols>
  <sheetData>
    <row r="1" spans="1:16" s="1" customFormat="1" x14ac:dyDescent="0.35">
      <c r="A1" s="15" t="s">
        <v>2</v>
      </c>
      <c r="B1" s="15" t="s">
        <v>77</v>
      </c>
      <c r="C1" s="15" t="s">
        <v>78</v>
      </c>
      <c r="D1" s="15" t="s">
        <v>59</v>
      </c>
      <c r="E1" s="15" t="s">
        <v>79</v>
      </c>
      <c r="F1" s="15" t="s">
        <v>60</v>
      </c>
      <c r="H1"/>
      <c r="I1"/>
      <c r="J1"/>
      <c r="K1"/>
      <c r="L1"/>
      <c r="M1"/>
      <c r="N1"/>
      <c r="O1"/>
      <c r="P1"/>
    </row>
    <row r="2" spans="1:16" x14ac:dyDescent="0.35">
      <c r="A2" s="13" t="s">
        <v>9</v>
      </c>
      <c r="B2" s="14">
        <v>4000</v>
      </c>
      <c r="C2" s="14">
        <f>B2*12</f>
        <v>48000</v>
      </c>
      <c r="D2" s="14">
        <f>VLOOKUP(A2,SUMMARY!G3:H9,2,)</f>
        <v>19463.75</v>
      </c>
      <c r="E2" s="14">
        <f>C2-D2</f>
        <v>28536.25</v>
      </c>
      <c r="F2" s="13" t="str">
        <f>IF(C2-D2&gt;0,"Under Budget", IF(C2-D2&lt;0,"Over Budget","On Budget"))</f>
        <v>Under Budget</v>
      </c>
    </row>
    <row r="3" spans="1:16" x14ac:dyDescent="0.35">
      <c r="A3" s="13" t="s">
        <v>12</v>
      </c>
      <c r="B3" s="14">
        <v>2000</v>
      </c>
      <c r="C3" s="14">
        <f t="shared" ref="C3:C8" si="0">B3*12</f>
        <v>24000</v>
      </c>
      <c r="D3" s="14">
        <f>VLOOKUP(A3,SUMMARY!G4:H10,2,)</f>
        <v>7100</v>
      </c>
      <c r="E3" s="14">
        <f t="shared" ref="E3:E8" si="1">C3-D3</f>
        <v>16900</v>
      </c>
      <c r="F3" s="13" t="str">
        <f t="shared" ref="F3:F8" si="2">IF(C3-D3&gt;0,"Under Budget", IF(C3-D3&lt;0,"Over Budget","On Budget"))</f>
        <v>Under Budget</v>
      </c>
    </row>
    <row r="4" spans="1:16" x14ac:dyDescent="0.35">
      <c r="A4" s="13" t="s">
        <v>14</v>
      </c>
      <c r="B4" s="14">
        <v>1000</v>
      </c>
      <c r="C4" s="14">
        <f t="shared" si="0"/>
        <v>12000</v>
      </c>
      <c r="D4" s="14">
        <f>VLOOKUP(A4,SUMMARY!G5:H11,2,)</f>
        <v>10918</v>
      </c>
      <c r="E4" s="14">
        <f t="shared" si="1"/>
        <v>1082</v>
      </c>
      <c r="F4" s="13" t="str">
        <f t="shared" si="2"/>
        <v>Under Budget</v>
      </c>
    </row>
    <row r="5" spans="1:16" x14ac:dyDescent="0.35">
      <c r="A5" s="13" t="s">
        <v>16</v>
      </c>
      <c r="B5" s="14">
        <v>2000</v>
      </c>
      <c r="C5" s="14">
        <f t="shared" si="0"/>
        <v>24000</v>
      </c>
      <c r="D5" s="14">
        <f>VLOOKUP(A5,SUMMARY!G6:H12,2,)</f>
        <v>7099.75</v>
      </c>
      <c r="E5" s="14">
        <f t="shared" si="1"/>
        <v>16900.25</v>
      </c>
      <c r="F5" s="13" t="str">
        <f t="shared" si="2"/>
        <v>Under Budget</v>
      </c>
    </row>
    <row r="6" spans="1:16" x14ac:dyDescent="0.35">
      <c r="A6" s="13" t="s">
        <v>18</v>
      </c>
      <c r="B6" s="14">
        <v>500</v>
      </c>
      <c r="C6" s="14">
        <f t="shared" si="0"/>
        <v>6000</v>
      </c>
      <c r="D6" s="14">
        <f>VLOOKUP(A6,SUMMARY!G7:H13,2,)</f>
        <v>0</v>
      </c>
      <c r="E6" s="14">
        <f t="shared" si="1"/>
        <v>6000</v>
      </c>
      <c r="F6" s="13" t="str">
        <f t="shared" si="2"/>
        <v>Under Budget</v>
      </c>
    </row>
    <row r="7" spans="1:16" x14ac:dyDescent="0.35">
      <c r="A7" s="13" t="s">
        <v>22</v>
      </c>
      <c r="B7" s="14">
        <v>1000</v>
      </c>
      <c r="C7" s="14">
        <f t="shared" si="0"/>
        <v>12000</v>
      </c>
      <c r="D7" s="14">
        <f>VLOOKUP(A7,SUMMARY!G8:H14,2,)</f>
        <v>7750.25</v>
      </c>
      <c r="E7" s="14">
        <f t="shared" si="1"/>
        <v>4249.75</v>
      </c>
      <c r="F7" s="13" t="str">
        <f t="shared" si="2"/>
        <v>Under Budget</v>
      </c>
    </row>
    <row r="8" spans="1:16" x14ac:dyDescent="0.35">
      <c r="A8" s="13" t="s">
        <v>24</v>
      </c>
      <c r="B8" s="14">
        <v>2500</v>
      </c>
      <c r="C8" s="14">
        <f t="shared" si="0"/>
        <v>30000</v>
      </c>
      <c r="D8" s="14">
        <f>VLOOKUP(A8,SUMMARY!G9:H15,2,)</f>
        <v>18000</v>
      </c>
      <c r="E8" s="14">
        <f t="shared" si="1"/>
        <v>12000</v>
      </c>
      <c r="F8" s="13" t="str">
        <f t="shared" si="2"/>
        <v>Under Budget</v>
      </c>
    </row>
  </sheetData>
  <phoneticPr fontId="6" type="noConversion"/>
  <conditionalFormatting sqref="F2:F8">
    <cfRule type="containsText" dxfId="2" priority="1" operator="containsText" text="On Budget">
      <formula>NOT(ISERROR(SEARCH("On Budget",F2)))</formula>
    </cfRule>
    <cfRule type="containsText" dxfId="1" priority="2" operator="containsText" text="Over Budget">
      <formula>NOT(ISERROR(SEARCH("Over Budget",F2)))</formula>
    </cfRule>
    <cfRule type="containsText" dxfId="0" priority="3" operator="containsText" text="Under Budget">
      <formula>NOT(ISERROR(SEARCH("Under Budget",F2)))</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ECD11-D476-4726-AE4C-BA042CE6C6B1}">
  <dimension ref="A2:D17"/>
  <sheetViews>
    <sheetView workbookViewId="0">
      <selection activeCell="B9" sqref="B9"/>
    </sheetView>
  </sheetViews>
  <sheetFormatPr defaultRowHeight="14.5" x14ac:dyDescent="0.35"/>
  <cols>
    <col min="1" max="1" width="42.26953125" customWidth="1"/>
    <col min="2" max="2" width="15.26953125" bestFit="1" customWidth="1"/>
    <col min="3" max="4" width="11.90625" bestFit="1" customWidth="1"/>
    <col min="5" max="5" width="9.36328125" bestFit="1" customWidth="1"/>
    <col min="6" max="6" width="11.90625" bestFit="1" customWidth="1"/>
    <col min="7" max="7" width="10.36328125" bestFit="1" customWidth="1"/>
    <col min="8" max="9" width="9.36328125" bestFit="1" customWidth="1"/>
    <col min="10" max="10" width="11.90625" bestFit="1" customWidth="1"/>
    <col min="11" max="11" width="10.36328125" bestFit="1" customWidth="1"/>
    <col min="12" max="12" width="9.36328125" bestFit="1" customWidth="1"/>
    <col min="13" max="13" width="10.36328125" bestFit="1" customWidth="1"/>
    <col min="14" max="14" width="11.90625" bestFit="1" customWidth="1"/>
  </cols>
  <sheetData>
    <row r="2" spans="1:4" ht="39.5" x14ac:dyDescent="0.35">
      <c r="A2" s="21" t="s">
        <v>81</v>
      </c>
    </row>
    <row r="3" spans="1:4" x14ac:dyDescent="0.35">
      <c r="A3" s="19" t="s">
        <v>76</v>
      </c>
      <c r="B3" s="19" t="s">
        <v>75</v>
      </c>
    </row>
    <row r="4" spans="1:4" x14ac:dyDescent="0.35">
      <c r="A4" s="19" t="s">
        <v>61</v>
      </c>
      <c r="B4" t="s">
        <v>10</v>
      </c>
      <c r="C4" t="s">
        <v>7</v>
      </c>
      <c r="D4" t="s">
        <v>62</v>
      </c>
    </row>
    <row r="5" spans="1:4" x14ac:dyDescent="0.35">
      <c r="A5" s="20" t="s">
        <v>63</v>
      </c>
      <c r="B5" s="12">
        <v>5800.25</v>
      </c>
      <c r="C5" s="12">
        <v>53000</v>
      </c>
      <c r="D5" s="12">
        <v>58800.25</v>
      </c>
    </row>
    <row r="6" spans="1:4" x14ac:dyDescent="0.35">
      <c r="A6" s="20" t="s">
        <v>64</v>
      </c>
      <c r="B6" s="12">
        <v>10630.65</v>
      </c>
      <c r="C6" s="12">
        <v>45000</v>
      </c>
      <c r="D6" s="12">
        <v>55630.65</v>
      </c>
    </row>
    <row r="7" spans="1:4" x14ac:dyDescent="0.35">
      <c r="A7" s="20" t="s">
        <v>65</v>
      </c>
      <c r="B7" s="12">
        <v>6259.8</v>
      </c>
      <c r="C7" s="12">
        <v>54500</v>
      </c>
      <c r="D7" s="12">
        <v>60759.8</v>
      </c>
    </row>
    <row r="8" spans="1:4" x14ac:dyDescent="0.35">
      <c r="A8" s="20" t="s">
        <v>66</v>
      </c>
      <c r="B8" s="12">
        <v>11695.65</v>
      </c>
      <c r="C8" s="12">
        <v>45000</v>
      </c>
      <c r="D8" s="12">
        <v>56695.65</v>
      </c>
    </row>
    <row r="9" spans="1:4" x14ac:dyDescent="0.35">
      <c r="A9" s="20" t="s">
        <v>67</v>
      </c>
      <c r="B9" s="12">
        <v>4069.25</v>
      </c>
      <c r="C9" s="12">
        <v>58000</v>
      </c>
      <c r="D9" s="12">
        <v>62069.25</v>
      </c>
    </row>
    <row r="10" spans="1:4" x14ac:dyDescent="0.35">
      <c r="A10" s="20" t="s">
        <v>68</v>
      </c>
      <c r="B10" s="12">
        <v>9025.4</v>
      </c>
      <c r="C10" s="12">
        <v>47000</v>
      </c>
      <c r="D10" s="12">
        <v>56025.4</v>
      </c>
    </row>
    <row r="11" spans="1:4" x14ac:dyDescent="0.35">
      <c r="A11" s="20" t="s">
        <v>69</v>
      </c>
      <c r="B11" s="12">
        <v>5650.75</v>
      </c>
      <c r="C11" s="12">
        <v>47000</v>
      </c>
      <c r="D11" s="12">
        <v>52650.75</v>
      </c>
    </row>
    <row r="12" spans="1:4" x14ac:dyDescent="0.35">
      <c r="A12" s="20" t="s">
        <v>70</v>
      </c>
      <c r="B12" s="12"/>
      <c r="C12" s="12">
        <v>50000</v>
      </c>
      <c r="D12" s="12">
        <v>50000</v>
      </c>
    </row>
    <row r="13" spans="1:4" x14ac:dyDescent="0.35">
      <c r="A13" s="20" t="s">
        <v>71</v>
      </c>
      <c r="B13" s="12">
        <v>2200</v>
      </c>
      <c r="C13" s="12"/>
      <c r="D13" s="12">
        <v>2200</v>
      </c>
    </row>
    <row r="14" spans="1:4" x14ac:dyDescent="0.35">
      <c r="A14" s="20" t="s">
        <v>72</v>
      </c>
      <c r="B14" s="12"/>
      <c r="C14" s="12">
        <v>12000</v>
      </c>
      <c r="D14" s="12">
        <v>12000</v>
      </c>
    </row>
    <row r="15" spans="1:4" x14ac:dyDescent="0.35">
      <c r="A15" s="20" t="s">
        <v>73</v>
      </c>
      <c r="B15" s="12">
        <v>6500</v>
      </c>
      <c r="C15" s="12"/>
      <c r="D15" s="12">
        <v>6500</v>
      </c>
    </row>
    <row r="16" spans="1:4" x14ac:dyDescent="0.35">
      <c r="A16" s="20" t="s">
        <v>74</v>
      </c>
      <c r="B16" s="12">
        <v>8500</v>
      </c>
      <c r="C16" s="12">
        <v>50000</v>
      </c>
      <c r="D16" s="12">
        <v>58500</v>
      </c>
    </row>
    <row r="17" spans="1:4" x14ac:dyDescent="0.35">
      <c r="A17" s="20" t="s">
        <v>62</v>
      </c>
      <c r="B17" s="12">
        <v>70331.75</v>
      </c>
      <c r="C17" s="12">
        <v>461500</v>
      </c>
      <c r="D17" s="12">
        <v>531831.75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A96C9-F3F7-4096-B7AE-189D2909A035}">
  <dimension ref="A1:D12"/>
  <sheetViews>
    <sheetView tabSelected="1" workbookViewId="0">
      <selection activeCell="A6" sqref="A6"/>
    </sheetView>
  </sheetViews>
  <sheetFormatPr defaultRowHeight="14.5" x14ac:dyDescent="0.35"/>
  <cols>
    <col min="1" max="1" width="12.90625" bestFit="1" customWidth="1"/>
    <col min="2" max="2" width="15" bestFit="1" customWidth="1"/>
    <col min="3" max="3" width="10.7265625" bestFit="1" customWidth="1"/>
    <col min="4" max="4" width="43.90625" customWidth="1"/>
  </cols>
  <sheetData>
    <row r="1" spans="1:4" ht="39.5" x14ac:dyDescent="0.35">
      <c r="A1" s="19" t="s">
        <v>3</v>
      </c>
      <c r="B1" t="s">
        <v>83</v>
      </c>
      <c r="D1" s="21" t="s">
        <v>82</v>
      </c>
    </row>
    <row r="3" spans="1:4" x14ac:dyDescent="0.35">
      <c r="A3" s="19" t="s">
        <v>61</v>
      </c>
      <c r="B3" t="s">
        <v>76</v>
      </c>
    </row>
    <row r="4" spans="1:4" x14ac:dyDescent="0.35">
      <c r="A4" s="20" t="s">
        <v>14</v>
      </c>
      <c r="B4" s="12">
        <v>10918</v>
      </c>
    </row>
    <row r="5" spans="1:4" x14ac:dyDescent="0.35">
      <c r="A5" s="20" t="s">
        <v>9</v>
      </c>
      <c r="B5" s="12">
        <v>19463.75</v>
      </c>
    </row>
    <row r="6" spans="1:4" x14ac:dyDescent="0.35">
      <c r="A6" s="20" t="s">
        <v>18</v>
      </c>
      <c r="B6" s="12">
        <v>40500</v>
      </c>
    </row>
    <row r="7" spans="1:4" x14ac:dyDescent="0.35">
      <c r="A7" s="20" t="s">
        <v>22</v>
      </c>
      <c r="B7" s="12">
        <v>7750.25</v>
      </c>
    </row>
    <row r="8" spans="1:4" x14ac:dyDescent="0.35">
      <c r="A8" s="20" t="s">
        <v>6</v>
      </c>
      <c r="B8" s="12">
        <v>421000</v>
      </c>
    </row>
    <row r="9" spans="1:4" x14ac:dyDescent="0.35">
      <c r="A9" s="20" t="s">
        <v>24</v>
      </c>
      <c r="B9" s="12">
        <v>18000</v>
      </c>
    </row>
    <row r="10" spans="1:4" x14ac:dyDescent="0.35">
      <c r="A10" s="20" t="s">
        <v>12</v>
      </c>
      <c r="B10" s="12">
        <v>7100</v>
      </c>
    </row>
    <row r="11" spans="1:4" x14ac:dyDescent="0.35">
      <c r="A11" s="20" t="s">
        <v>16</v>
      </c>
      <c r="B11" s="12">
        <v>7099.75</v>
      </c>
    </row>
    <row r="12" spans="1:4" x14ac:dyDescent="0.35">
      <c r="A12" s="20" t="s">
        <v>62</v>
      </c>
      <c r="B12" s="12">
        <v>531831.75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SUMMARY</vt:lpstr>
      <vt:lpstr>CHART</vt:lpstr>
      <vt:lpstr>BUDGETS</vt:lpstr>
      <vt:lpstr>PIVOT1</vt:lpstr>
      <vt:lpstr>PIVOT2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Paul</dc:creator>
  <cp:lastModifiedBy>Shreya Paul</cp:lastModifiedBy>
  <cp:lastPrinted>2026-06-03T06:52:20Z</cp:lastPrinted>
  <dcterms:created xsi:type="dcterms:W3CDTF">2026-06-02T14:03:24Z</dcterms:created>
  <dcterms:modified xsi:type="dcterms:W3CDTF">2026-06-08T19:16:16Z</dcterms:modified>
</cp:coreProperties>
</file>